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xr:revisionPtr revIDLastSave="0" documentId="8_{917177FB-3074-5C4E-A5FB-2E2993F5267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ctions" sheetId="1" r:id="rId1"/>
    <sheet name="Assumptions" sheetId="2" r:id="rId2"/>
    <sheet name="IDF_Dubai" sheetId="3" r:id="rId3"/>
    <sheet name="Hotspots" sheetId="4" r:id="rId4"/>
    <sheet name="Scenario_Calc" sheetId="5" r:id="rId5"/>
    <sheet name="Fleet_Summary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5" l="1"/>
  <c r="I10" i="5"/>
  <c r="J10" i="5"/>
  <c r="D10" i="5"/>
  <c r="E10" i="5"/>
  <c r="F10" i="5"/>
  <c r="G10" i="5"/>
  <c r="K10" i="5"/>
  <c r="L10" i="5"/>
  <c r="M10" i="5"/>
  <c r="N10" i="5"/>
  <c r="O10" i="5"/>
  <c r="P10" i="5"/>
  <c r="Q10" i="5"/>
  <c r="R10" i="5"/>
  <c r="S10" i="5"/>
  <c r="T10" i="5"/>
  <c r="Y10" i="5"/>
  <c r="Z10" i="5"/>
  <c r="H15" i="5"/>
  <c r="I15" i="5"/>
  <c r="J15" i="5"/>
  <c r="D15" i="5"/>
  <c r="E15" i="5"/>
  <c r="F15" i="5"/>
  <c r="G15" i="5"/>
  <c r="K15" i="5"/>
  <c r="L15" i="5"/>
  <c r="M15" i="5"/>
  <c r="N15" i="5"/>
  <c r="O15" i="5"/>
  <c r="P15" i="5"/>
  <c r="Q15" i="5"/>
  <c r="R15" i="5"/>
  <c r="S15" i="5"/>
  <c r="T15" i="5"/>
  <c r="Z15" i="5"/>
  <c r="H20" i="5"/>
  <c r="I20" i="5"/>
  <c r="J20" i="5"/>
  <c r="D20" i="5"/>
  <c r="E20" i="5"/>
  <c r="F20" i="5"/>
  <c r="G20" i="5"/>
  <c r="K20" i="5"/>
  <c r="L20" i="5"/>
  <c r="M20" i="5"/>
  <c r="N20" i="5"/>
  <c r="O20" i="5"/>
  <c r="P20" i="5"/>
  <c r="Q20" i="5"/>
  <c r="R20" i="5"/>
  <c r="S20" i="5"/>
  <c r="T20" i="5"/>
  <c r="Z20" i="5"/>
  <c r="H25" i="5"/>
  <c r="I25" i="5"/>
  <c r="J25" i="5"/>
  <c r="D25" i="5"/>
  <c r="E25" i="5"/>
  <c r="F25" i="5"/>
  <c r="G25" i="5"/>
  <c r="K25" i="5"/>
  <c r="L25" i="5"/>
  <c r="M25" i="5"/>
  <c r="N25" i="5"/>
  <c r="O25" i="5"/>
  <c r="P25" i="5"/>
  <c r="Q25" i="5"/>
  <c r="R25" i="5"/>
  <c r="S25" i="5"/>
  <c r="T25" i="5"/>
  <c r="Y25" i="5"/>
  <c r="Z25" i="5"/>
  <c r="H35" i="5"/>
  <c r="I35" i="5"/>
  <c r="J35" i="5"/>
  <c r="D35" i="5"/>
  <c r="E35" i="5"/>
  <c r="F35" i="5"/>
  <c r="G35" i="5"/>
  <c r="K35" i="5"/>
  <c r="L35" i="5"/>
  <c r="M35" i="5"/>
  <c r="N35" i="5"/>
  <c r="O35" i="5"/>
  <c r="P35" i="5"/>
  <c r="Q35" i="5"/>
  <c r="R35" i="5"/>
  <c r="S35" i="5"/>
  <c r="T35" i="5"/>
  <c r="Z35" i="5"/>
  <c r="H34" i="5"/>
  <c r="I34" i="5"/>
  <c r="J34" i="5"/>
  <c r="D34" i="5"/>
  <c r="E34" i="5"/>
  <c r="F34" i="5"/>
  <c r="G34" i="5"/>
  <c r="K34" i="5"/>
  <c r="L34" i="5"/>
  <c r="M34" i="5"/>
  <c r="N34" i="5"/>
  <c r="O34" i="5"/>
  <c r="P34" i="5"/>
  <c r="Q34" i="5"/>
  <c r="R34" i="5"/>
  <c r="S34" i="5"/>
  <c r="T34" i="5"/>
  <c r="Z34" i="5"/>
  <c r="H33" i="5"/>
  <c r="I33" i="5"/>
  <c r="J33" i="5"/>
  <c r="D33" i="5"/>
  <c r="E33" i="5"/>
  <c r="F33" i="5"/>
  <c r="G33" i="5"/>
  <c r="K33" i="5"/>
  <c r="L33" i="5"/>
  <c r="M33" i="5"/>
  <c r="N33" i="5"/>
  <c r="O33" i="5"/>
  <c r="P33" i="5"/>
  <c r="Q33" i="5"/>
  <c r="R33" i="5"/>
  <c r="S33" i="5"/>
  <c r="T33" i="5"/>
  <c r="Z33" i="5"/>
  <c r="H32" i="5"/>
  <c r="I32" i="5"/>
  <c r="J32" i="5"/>
  <c r="D32" i="5"/>
  <c r="E32" i="5"/>
  <c r="F32" i="5"/>
  <c r="G32" i="5"/>
  <c r="K32" i="5"/>
  <c r="L32" i="5"/>
  <c r="M32" i="5"/>
  <c r="N32" i="5"/>
  <c r="O32" i="5"/>
  <c r="P32" i="5"/>
  <c r="Q32" i="5"/>
  <c r="R32" i="5"/>
  <c r="S32" i="5"/>
  <c r="T32" i="5"/>
  <c r="Z32" i="5"/>
  <c r="H31" i="5"/>
  <c r="I31" i="5"/>
  <c r="J31" i="5"/>
  <c r="D31" i="5"/>
  <c r="E31" i="5"/>
  <c r="F31" i="5"/>
  <c r="G31" i="5"/>
  <c r="K31" i="5"/>
  <c r="L31" i="5"/>
  <c r="M31" i="5"/>
  <c r="N31" i="5"/>
  <c r="O31" i="5"/>
  <c r="P31" i="5"/>
  <c r="Q31" i="5"/>
  <c r="R31" i="5"/>
  <c r="S31" i="5"/>
  <c r="T31" i="5"/>
  <c r="Z31" i="5"/>
  <c r="H30" i="5"/>
  <c r="I30" i="5"/>
  <c r="J30" i="5"/>
  <c r="D30" i="5"/>
  <c r="E30" i="5"/>
  <c r="F30" i="5"/>
  <c r="G30" i="5"/>
  <c r="K30" i="5"/>
  <c r="L30" i="5"/>
  <c r="M30" i="5"/>
  <c r="N30" i="5"/>
  <c r="O30" i="5"/>
  <c r="P30" i="5"/>
  <c r="Q30" i="5"/>
  <c r="R30" i="5"/>
  <c r="S30" i="5"/>
  <c r="T30" i="5"/>
  <c r="Z30" i="5"/>
  <c r="H29" i="5"/>
  <c r="I29" i="5"/>
  <c r="J29" i="5"/>
  <c r="D29" i="5"/>
  <c r="E29" i="5"/>
  <c r="F29" i="5"/>
  <c r="G29" i="5"/>
  <c r="K29" i="5"/>
  <c r="L29" i="5"/>
  <c r="M29" i="5"/>
  <c r="N29" i="5"/>
  <c r="O29" i="5"/>
  <c r="P29" i="5"/>
  <c r="Q29" i="5"/>
  <c r="R29" i="5"/>
  <c r="S29" i="5"/>
  <c r="T29" i="5"/>
  <c r="Z29" i="5"/>
  <c r="H28" i="5"/>
  <c r="I28" i="5"/>
  <c r="J28" i="5"/>
  <c r="D28" i="5"/>
  <c r="E28" i="5"/>
  <c r="F28" i="5"/>
  <c r="G28" i="5"/>
  <c r="K28" i="5"/>
  <c r="L28" i="5"/>
  <c r="M28" i="5"/>
  <c r="N28" i="5"/>
  <c r="O28" i="5"/>
  <c r="P28" i="5"/>
  <c r="Q28" i="5"/>
  <c r="R28" i="5"/>
  <c r="S28" i="5"/>
  <c r="T28" i="5"/>
  <c r="Z28" i="5"/>
  <c r="H27" i="5"/>
  <c r="I27" i="5"/>
  <c r="J27" i="5"/>
  <c r="D27" i="5"/>
  <c r="E27" i="5"/>
  <c r="F27" i="5"/>
  <c r="G27" i="5"/>
  <c r="K27" i="5"/>
  <c r="L27" i="5"/>
  <c r="M27" i="5"/>
  <c r="N27" i="5"/>
  <c r="O27" i="5"/>
  <c r="P27" i="5"/>
  <c r="Q27" i="5"/>
  <c r="R27" i="5"/>
  <c r="S27" i="5"/>
  <c r="T27" i="5"/>
  <c r="Z27" i="5"/>
  <c r="H26" i="5"/>
  <c r="I26" i="5"/>
  <c r="J26" i="5"/>
  <c r="D26" i="5"/>
  <c r="E26" i="5"/>
  <c r="F26" i="5"/>
  <c r="G26" i="5"/>
  <c r="K26" i="5"/>
  <c r="L26" i="5"/>
  <c r="M26" i="5"/>
  <c r="N26" i="5"/>
  <c r="O26" i="5"/>
  <c r="P26" i="5"/>
  <c r="Q26" i="5"/>
  <c r="R26" i="5"/>
  <c r="S26" i="5"/>
  <c r="T26" i="5"/>
  <c r="Z26" i="5"/>
  <c r="H24" i="5"/>
  <c r="I24" i="5"/>
  <c r="J24" i="5"/>
  <c r="D24" i="5"/>
  <c r="E24" i="5"/>
  <c r="F24" i="5"/>
  <c r="G24" i="5"/>
  <c r="K24" i="5"/>
  <c r="L24" i="5"/>
  <c r="M24" i="5"/>
  <c r="N24" i="5"/>
  <c r="O24" i="5"/>
  <c r="P24" i="5"/>
  <c r="Q24" i="5"/>
  <c r="R24" i="5"/>
  <c r="S24" i="5"/>
  <c r="T24" i="5"/>
  <c r="Y24" i="5"/>
  <c r="Z24" i="5"/>
  <c r="H23" i="5"/>
  <c r="I23" i="5"/>
  <c r="J23" i="5"/>
  <c r="D23" i="5"/>
  <c r="E23" i="5"/>
  <c r="F23" i="5"/>
  <c r="G23" i="5"/>
  <c r="K23" i="5"/>
  <c r="L23" i="5"/>
  <c r="M23" i="5"/>
  <c r="N23" i="5"/>
  <c r="O23" i="5"/>
  <c r="P23" i="5"/>
  <c r="Q23" i="5"/>
  <c r="R23" i="5"/>
  <c r="S23" i="5"/>
  <c r="T23" i="5"/>
  <c r="Z23" i="5"/>
  <c r="H22" i="5"/>
  <c r="I22" i="5"/>
  <c r="J22" i="5"/>
  <c r="D22" i="5"/>
  <c r="E22" i="5"/>
  <c r="F22" i="5"/>
  <c r="G22" i="5"/>
  <c r="K22" i="5"/>
  <c r="L22" i="5"/>
  <c r="M22" i="5"/>
  <c r="N22" i="5"/>
  <c r="O22" i="5"/>
  <c r="P22" i="5"/>
  <c r="Q22" i="5"/>
  <c r="R22" i="5"/>
  <c r="S22" i="5"/>
  <c r="T22" i="5"/>
  <c r="Z22" i="5"/>
  <c r="H21" i="5"/>
  <c r="I21" i="5"/>
  <c r="J21" i="5"/>
  <c r="D21" i="5"/>
  <c r="E21" i="5"/>
  <c r="F21" i="5"/>
  <c r="G21" i="5"/>
  <c r="K21" i="5"/>
  <c r="L21" i="5"/>
  <c r="M21" i="5"/>
  <c r="N21" i="5"/>
  <c r="O21" i="5"/>
  <c r="P21" i="5"/>
  <c r="Q21" i="5"/>
  <c r="R21" i="5"/>
  <c r="S21" i="5"/>
  <c r="T21" i="5"/>
  <c r="Z21" i="5"/>
  <c r="H19" i="5"/>
  <c r="I19" i="5"/>
  <c r="J19" i="5"/>
  <c r="D19" i="5"/>
  <c r="E19" i="5"/>
  <c r="F19" i="5"/>
  <c r="G19" i="5"/>
  <c r="K19" i="5"/>
  <c r="L19" i="5"/>
  <c r="M19" i="5"/>
  <c r="N19" i="5"/>
  <c r="O19" i="5"/>
  <c r="P19" i="5"/>
  <c r="Q19" i="5"/>
  <c r="R19" i="5"/>
  <c r="S19" i="5"/>
  <c r="T19" i="5"/>
  <c r="Z19" i="5"/>
  <c r="H18" i="5"/>
  <c r="I18" i="5"/>
  <c r="J18" i="5"/>
  <c r="D18" i="5"/>
  <c r="E18" i="5"/>
  <c r="F18" i="5"/>
  <c r="G18" i="5"/>
  <c r="K18" i="5"/>
  <c r="L18" i="5"/>
  <c r="M18" i="5"/>
  <c r="N18" i="5"/>
  <c r="O18" i="5"/>
  <c r="P18" i="5"/>
  <c r="Q18" i="5"/>
  <c r="R18" i="5"/>
  <c r="S18" i="5"/>
  <c r="T18" i="5"/>
  <c r="Z18" i="5"/>
  <c r="H17" i="5"/>
  <c r="I17" i="5"/>
  <c r="J17" i="5"/>
  <c r="D17" i="5"/>
  <c r="E17" i="5"/>
  <c r="F17" i="5"/>
  <c r="G17" i="5"/>
  <c r="K17" i="5"/>
  <c r="L17" i="5"/>
  <c r="M17" i="5"/>
  <c r="N17" i="5"/>
  <c r="O17" i="5"/>
  <c r="P17" i="5"/>
  <c r="Q17" i="5"/>
  <c r="R17" i="5"/>
  <c r="S17" i="5"/>
  <c r="T17" i="5"/>
  <c r="Z17" i="5"/>
  <c r="H16" i="5"/>
  <c r="I16" i="5"/>
  <c r="J16" i="5"/>
  <c r="D16" i="5"/>
  <c r="E16" i="5"/>
  <c r="F16" i="5"/>
  <c r="G16" i="5"/>
  <c r="K16" i="5"/>
  <c r="L16" i="5"/>
  <c r="M16" i="5"/>
  <c r="N16" i="5"/>
  <c r="O16" i="5"/>
  <c r="P16" i="5"/>
  <c r="Q16" i="5"/>
  <c r="R16" i="5"/>
  <c r="S16" i="5"/>
  <c r="T16" i="5"/>
  <c r="Z16" i="5"/>
  <c r="H14" i="5"/>
  <c r="I14" i="5"/>
  <c r="J14" i="5"/>
  <c r="D14" i="5"/>
  <c r="E14" i="5"/>
  <c r="F14" i="5"/>
  <c r="G14" i="5"/>
  <c r="K14" i="5"/>
  <c r="L14" i="5"/>
  <c r="M14" i="5"/>
  <c r="N14" i="5"/>
  <c r="O14" i="5"/>
  <c r="P14" i="5"/>
  <c r="Q14" i="5"/>
  <c r="R14" i="5"/>
  <c r="S14" i="5"/>
  <c r="T14" i="5"/>
  <c r="Z14" i="5"/>
  <c r="H13" i="5"/>
  <c r="I13" i="5"/>
  <c r="J13" i="5"/>
  <c r="D13" i="5"/>
  <c r="E13" i="5"/>
  <c r="F13" i="5"/>
  <c r="G13" i="5"/>
  <c r="K13" i="5"/>
  <c r="L13" i="5"/>
  <c r="M13" i="5"/>
  <c r="N13" i="5"/>
  <c r="O13" i="5"/>
  <c r="P13" i="5"/>
  <c r="Q13" i="5"/>
  <c r="R13" i="5"/>
  <c r="S13" i="5"/>
  <c r="T13" i="5"/>
  <c r="Z13" i="5"/>
  <c r="H12" i="5"/>
  <c r="I12" i="5"/>
  <c r="J12" i="5"/>
  <c r="D12" i="5"/>
  <c r="E12" i="5"/>
  <c r="F12" i="5"/>
  <c r="G12" i="5"/>
  <c r="K12" i="5"/>
  <c r="L12" i="5"/>
  <c r="M12" i="5"/>
  <c r="N12" i="5"/>
  <c r="O12" i="5"/>
  <c r="P12" i="5"/>
  <c r="Q12" i="5"/>
  <c r="R12" i="5"/>
  <c r="S12" i="5"/>
  <c r="T12" i="5"/>
  <c r="Z12" i="5"/>
  <c r="H11" i="5"/>
  <c r="I11" i="5"/>
  <c r="J11" i="5"/>
  <c r="D11" i="5"/>
  <c r="E11" i="5"/>
  <c r="F11" i="5"/>
  <c r="G11" i="5"/>
  <c r="K11" i="5"/>
  <c r="L11" i="5"/>
  <c r="M11" i="5"/>
  <c r="N11" i="5"/>
  <c r="O11" i="5"/>
  <c r="P11" i="5"/>
  <c r="Q11" i="5"/>
  <c r="R11" i="5"/>
  <c r="S11" i="5"/>
  <c r="T11" i="5"/>
  <c r="Z11" i="5"/>
  <c r="H9" i="5"/>
  <c r="I9" i="5"/>
  <c r="J9" i="5"/>
  <c r="D9" i="5"/>
  <c r="E9" i="5"/>
  <c r="F9" i="5"/>
  <c r="G9" i="5"/>
  <c r="K9" i="5"/>
  <c r="L9" i="5"/>
  <c r="M9" i="5"/>
  <c r="N9" i="5"/>
  <c r="O9" i="5"/>
  <c r="P9" i="5"/>
  <c r="Q9" i="5"/>
  <c r="R9" i="5"/>
  <c r="S9" i="5"/>
  <c r="T9" i="5"/>
  <c r="Y9" i="5"/>
  <c r="Z9" i="5"/>
  <c r="H8" i="5"/>
  <c r="I8" i="5"/>
  <c r="J8" i="5"/>
  <c r="D8" i="5"/>
  <c r="E8" i="5"/>
  <c r="F8" i="5"/>
  <c r="G8" i="5"/>
  <c r="K8" i="5"/>
  <c r="L8" i="5"/>
  <c r="M8" i="5"/>
  <c r="N8" i="5"/>
  <c r="O8" i="5"/>
  <c r="P8" i="5"/>
  <c r="Q8" i="5"/>
  <c r="R8" i="5"/>
  <c r="S8" i="5"/>
  <c r="T8" i="5"/>
  <c r="Y8" i="5"/>
  <c r="Z8" i="5"/>
  <c r="H7" i="5"/>
  <c r="I7" i="5"/>
  <c r="J7" i="5"/>
  <c r="D7" i="5"/>
  <c r="E7" i="5"/>
  <c r="F7" i="5"/>
  <c r="G7" i="5"/>
  <c r="K7" i="5"/>
  <c r="L7" i="5"/>
  <c r="M7" i="5"/>
  <c r="N7" i="5"/>
  <c r="O7" i="5"/>
  <c r="P7" i="5"/>
  <c r="Q7" i="5"/>
  <c r="R7" i="5"/>
  <c r="S7" i="5"/>
  <c r="T7" i="5"/>
  <c r="Z7" i="5"/>
  <c r="H6" i="5"/>
  <c r="I6" i="5"/>
  <c r="J6" i="5"/>
  <c r="D6" i="5"/>
  <c r="E6" i="5"/>
  <c r="F6" i="5"/>
  <c r="G6" i="5"/>
  <c r="K6" i="5"/>
  <c r="L6" i="5"/>
  <c r="M6" i="5"/>
  <c r="N6" i="5"/>
  <c r="O6" i="5"/>
  <c r="P6" i="5"/>
  <c r="Q6" i="5"/>
  <c r="R6" i="5"/>
  <c r="S6" i="5"/>
  <c r="T6" i="5"/>
  <c r="Z6" i="5"/>
  <c r="H10" i="6"/>
  <c r="U10" i="5"/>
  <c r="V10" i="5"/>
  <c r="W10" i="5"/>
  <c r="X10" i="5"/>
  <c r="U15" i="5"/>
  <c r="V15" i="5"/>
  <c r="W15" i="5"/>
  <c r="X15" i="5"/>
  <c r="U20" i="5"/>
  <c r="V20" i="5"/>
  <c r="W20" i="5"/>
  <c r="X20" i="5"/>
  <c r="U25" i="5"/>
  <c r="V25" i="5"/>
  <c r="W25" i="5"/>
  <c r="X25" i="5"/>
  <c r="U35" i="5"/>
  <c r="V35" i="5"/>
  <c r="W35" i="5"/>
  <c r="X35" i="5"/>
  <c r="U34" i="5"/>
  <c r="V34" i="5"/>
  <c r="W34" i="5"/>
  <c r="X34" i="5"/>
  <c r="U33" i="5"/>
  <c r="V33" i="5"/>
  <c r="W33" i="5"/>
  <c r="X33" i="5"/>
  <c r="U32" i="5"/>
  <c r="V32" i="5"/>
  <c r="W32" i="5"/>
  <c r="X32" i="5"/>
  <c r="U31" i="5"/>
  <c r="V31" i="5"/>
  <c r="W31" i="5"/>
  <c r="X31" i="5"/>
  <c r="U30" i="5"/>
  <c r="V30" i="5"/>
  <c r="W30" i="5"/>
  <c r="X30" i="5"/>
  <c r="U29" i="5"/>
  <c r="V29" i="5"/>
  <c r="W29" i="5"/>
  <c r="X29" i="5"/>
  <c r="U28" i="5"/>
  <c r="V28" i="5"/>
  <c r="W28" i="5"/>
  <c r="X28" i="5"/>
  <c r="U27" i="5"/>
  <c r="V27" i="5"/>
  <c r="W27" i="5"/>
  <c r="X27" i="5"/>
  <c r="U26" i="5"/>
  <c r="V26" i="5"/>
  <c r="W26" i="5"/>
  <c r="X26" i="5"/>
  <c r="U24" i="5"/>
  <c r="V24" i="5"/>
  <c r="W24" i="5"/>
  <c r="X24" i="5"/>
  <c r="U23" i="5"/>
  <c r="V23" i="5"/>
  <c r="W23" i="5"/>
  <c r="X23" i="5"/>
  <c r="U22" i="5"/>
  <c r="V22" i="5"/>
  <c r="W22" i="5"/>
  <c r="X22" i="5"/>
  <c r="U21" i="5"/>
  <c r="V21" i="5"/>
  <c r="W21" i="5"/>
  <c r="X21" i="5"/>
  <c r="U19" i="5"/>
  <c r="V19" i="5"/>
  <c r="W19" i="5"/>
  <c r="X19" i="5"/>
  <c r="U18" i="5"/>
  <c r="V18" i="5"/>
  <c r="W18" i="5"/>
  <c r="X18" i="5"/>
  <c r="U17" i="5"/>
  <c r="V17" i="5"/>
  <c r="W17" i="5"/>
  <c r="X17" i="5"/>
  <c r="U16" i="5"/>
  <c r="V16" i="5"/>
  <c r="W16" i="5"/>
  <c r="X16" i="5"/>
  <c r="U14" i="5"/>
  <c r="V14" i="5"/>
  <c r="W14" i="5"/>
  <c r="X14" i="5"/>
  <c r="U13" i="5"/>
  <c r="V13" i="5"/>
  <c r="W13" i="5"/>
  <c r="X13" i="5"/>
  <c r="U12" i="5"/>
  <c r="V12" i="5"/>
  <c r="W12" i="5"/>
  <c r="X12" i="5"/>
  <c r="U11" i="5"/>
  <c r="V11" i="5"/>
  <c r="W11" i="5"/>
  <c r="X11" i="5"/>
  <c r="U9" i="5"/>
  <c r="V9" i="5"/>
  <c r="W9" i="5"/>
  <c r="X9" i="5"/>
  <c r="U8" i="5"/>
  <c r="V8" i="5"/>
  <c r="W8" i="5"/>
  <c r="X8" i="5"/>
  <c r="U7" i="5"/>
  <c r="V7" i="5"/>
  <c r="W7" i="5"/>
  <c r="X7" i="5"/>
  <c r="U6" i="5"/>
  <c r="V6" i="5"/>
  <c r="W6" i="5"/>
  <c r="X6" i="5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H6" i="6"/>
  <c r="G6" i="6"/>
  <c r="F6" i="6"/>
  <c r="E6" i="6"/>
  <c r="D6" i="6"/>
  <c r="C6" i="6"/>
  <c r="B6" i="6"/>
  <c r="Y35" i="5"/>
  <c r="C35" i="5"/>
  <c r="Y34" i="5"/>
  <c r="C34" i="5"/>
  <c r="Y33" i="5"/>
  <c r="C33" i="5"/>
  <c r="Y32" i="5"/>
  <c r="C32" i="5"/>
  <c r="Y31" i="5"/>
  <c r="C31" i="5"/>
  <c r="Y30" i="5"/>
  <c r="C30" i="5"/>
  <c r="Y29" i="5"/>
  <c r="C29" i="5"/>
  <c r="Y28" i="5"/>
  <c r="C28" i="5"/>
  <c r="Y27" i="5"/>
  <c r="C27" i="5"/>
  <c r="Y26" i="5"/>
  <c r="C26" i="5"/>
  <c r="C25" i="5"/>
  <c r="C24" i="5"/>
  <c r="Y23" i="5"/>
  <c r="C23" i="5"/>
  <c r="Y22" i="5"/>
  <c r="C22" i="5"/>
  <c r="Y21" i="5"/>
  <c r="C21" i="5"/>
  <c r="Y20" i="5"/>
  <c r="C20" i="5"/>
  <c r="Y19" i="5"/>
  <c r="C19" i="5"/>
  <c r="Y18" i="5"/>
  <c r="C18" i="5"/>
  <c r="Y17" i="5"/>
  <c r="C17" i="5"/>
  <c r="Y16" i="5"/>
  <c r="C16" i="5"/>
  <c r="Y15" i="5"/>
  <c r="C15" i="5"/>
  <c r="Y14" i="5"/>
  <c r="C14" i="5"/>
  <c r="Y13" i="5"/>
  <c r="C13" i="5"/>
  <c r="Y12" i="5"/>
  <c r="C12" i="5"/>
  <c r="Y11" i="5"/>
  <c r="C11" i="5"/>
  <c r="C10" i="5"/>
  <c r="C9" i="5"/>
  <c r="C8" i="5"/>
  <c r="Y7" i="5"/>
  <c r="C7" i="5"/>
  <c r="Y6" i="5"/>
  <c r="C6" i="5"/>
  <c r="O16" i="4"/>
  <c r="N16" i="4"/>
  <c r="O15" i="4"/>
  <c r="N15" i="4"/>
  <c r="O14" i="4"/>
  <c r="N14" i="4"/>
  <c r="O13" i="4"/>
  <c r="N13" i="4"/>
  <c r="O12" i="4"/>
  <c r="N12" i="4"/>
  <c r="N11" i="4"/>
  <c r="N6" i="4"/>
  <c r="N7" i="4"/>
  <c r="N8" i="4"/>
  <c r="N10" i="4"/>
  <c r="N9" i="4"/>
  <c r="O11" i="4"/>
  <c r="O10" i="4"/>
  <c r="O9" i="4"/>
  <c r="O8" i="4"/>
  <c r="O7" i="4"/>
  <c r="O6" i="4"/>
</calcChain>
</file>

<file path=xl/sharedStrings.xml><?xml version="1.0" encoding="utf-8"?>
<sst xmlns="http://schemas.openxmlformats.org/spreadsheetml/2006/main" count="148" uniqueCount="115">
  <si>
    <t>Resilient Stormwater Network — 3-Line-of-Defense Sizing Model</t>
  </si>
  <si>
    <t>Reverse-engineers pond capacity and mobile pump/tanker fleet size per hotspot, across 5/10/25/50/100-year storm scenarios.</t>
  </si>
  <si>
    <t>How this model works</t>
  </si>
  <si>
    <t>1. Hotspots sheet</t>
  </si>
  <si>
    <t>Enter one row per drainage hotspot: catchment area, runoff coefficient, time of concentration, existing network capacity, and available pond capacity (0 if none exists yet). Score each hotspot 0-3 on five risk criteria — the model ranks hotspots automatically.</t>
  </si>
  <si>
    <t>2. IDF_Dubai sheet</t>
  </si>
  <si>
    <t>Reference rainfall Intensity-Duration-Frequency data, sourced from Dubai Municipality's Stormwater Design Guidelines (v2, July 2024), Table 0-2. Do not edit unless you have site-specific or updated IDF data (e.g. from Abu Dhabi ADM or your own gauge records).</t>
  </si>
  <si>
    <t>3. Assumptions sheet</t>
  </si>
  <si>
    <t>Global parameters used by every calculation — sedimentation allowance, hydrograph shape factor, drawdown time target, pump/tanker unit capacities. Yellow cells are meant to be reviewed and adjusted to your actual fleet and operational targets.</t>
  </si>
  <si>
    <t>4. Scenario_Calc sheet</t>
  </si>
  <si>
    <t>The engine. For every hotspot x return period combination, it pulls rainfall intensity, computes peak flow (Rational Method), compares it to existing network capacity, sizes the required pond volume, and — where ponds fall short — sizes the mobile pump and tanker response needed (Line 3).</t>
  </si>
  <si>
    <t>5. Fleet_Summary sheet</t>
  </si>
  <si>
    <t>Rolls the hotspot-level results up into total fleet requirements per storm scenario — this is what a control room would keep on standby for each severity level.</t>
  </si>
  <si>
    <t>Colour legend</t>
  </si>
  <si>
    <t>Blue text</t>
  </si>
  <si>
    <t>Input cells — your data. Overwrite freely.</t>
  </si>
  <si>
    <t>Yellow fill</t>
  </si>
  <si>
    <t>Key assumptions — review before trusting the outputs; defaults are reasonable planning-level placeholders, not your fleet specs.</t>
  </si>
  <si>
    <t>Black text</t>
  </si>
  <si>
    <t>Formulas — do not overwrite; they reference the input/assumption cells.</t>
  </si>
  <si>
    <t>Important limits — read before using this for real decisions</t>
  </si>
  <si>
    <t>Screening tool, not final design</t>
  </si>
  <si>
    <t>This uses the Rational Method and a simplified triangular-hydrograph approximation for pond volume. Dubai Municipality's own guidelines require InfoSWMM (or DM-approved equivalent) hydraulic/hydrograph modelling for actual pond and pumping-station sizing and DM approval. Use this model to prioritise hotspots and get planning-level orders of magnitude; commission a calibrated hydraulic model before committing capital.</t>
  </si>
  <si>
    <t>Rational Method is capped</t>
  </si>
  <si>
    <t>Per DM guidelines, the Rational Method is only valid for catchments under 80 hectares. Split larger catchments into sub-catchments, or use a hydrograph method.</t>
  </si>
  <si>
    <t>Every hardcoded number is sourced</t>
  </si>
  <si>
    <t>Check the Assumptions sheet and IDF_Dubai sheet notes for the source of every reference figure. Numbers marked ASSUMPTION are placeholders for you to replace with real fleet/operational data.</t>
  </si>
  <si>
    <t>Global Assumptions</t>
  </si>
  <si>
    <t>Yellow = review and adjust. These drive every calculation in Scenario_Calc.</t>
  </si>
  <si>
    <t>Parameter</t>
  </si>
  <si>
    <t>Value</t>
  </si>
  <si>
    <t>Source / basis</t>
  </si>
  <si>
    <t>Sedimentation allowance factor</t>
  </si>
  <si>
    <t>DM Stormwater Design Guidelines v2 (Jul 2024), Sec 5.1: ponds/off-line tanks sized 5% larger than the required attenuation volume to allow for sand/sediment deposition.</t>
  </si>
  <si>
    <t>Hydrograph shape / attenuation factor</t>
  </si>
  <si>
    <t>ASSUMPTION - simplified triangular-hydrograph approximation of excess-flow volume (0.5 x peak excess flow x duration). Replace with actual SWMM/InfoSWMM routing output before final design; DM Sec 5.8 mandates InfoSWMM (or DM-approved equivalent) for real drainage system modelling.</t>
  </si>
  <si>
    <t>Target hotspot drawdown / response time (hr)</t>
  </si>
  <si>
    <t>ASSUMPTION - the time within which Line 3 (mobile pumps/tankers) should clear the pond shortfall at a hotspot once dispatched. Set to your own operational SLA.</t>
  </si>
  <si>
    <t>Mobile pump unit capacity (m3/hr)</t>
  </si>
  <si>
    <t>ASSUMPTION - typical large trailer-mounted diesel pump (150-200mm bore) throughput. Replace with your actual fleet's rated capacity.</t>
  </si>
  <si>
    <t>Tanker capacity (m3 per load)</t>
  </si>
  <si>
    <t>ASSUMPTION - typical vacuum tanker load size. Replace with your actual fleet's tanker capacity.</t>
  </si>
  <si>
    <t>Runoff Coefficient Adjustment Factors (Cf)</t>
  </si>
  <si>
    <t>Source: DM Stormwater Design Guidelines v2, Table 0-6 (after TxDOT, 2011). Applied because infiltration/losses matter proportionally less in higher-return-period storms. C x Cf capped at 1.0 in Scenario_Calc.</t>
  </si>
  <si>
    <t>Return Period (yr)</t>
  </si>
  <si>
    <t>Cf</t>
  </si>
  <si>
    <t>Dubai Rainfall Intensity-Duration-Frequency (IDF) Table</t>
  </si>
  <si>
    <t>Source: Dubai Municipality, Stormwater Design Guidelines, Doc. DM-WSA-SRPD-SW1, Version 2, July 2024, Table 0-2 ("IDF values for Dubai including the Estimated values"). Intensities in mm/hr.</t>
  </si>
  <si>
    <t>For sites in the Hatta area, use Table 0-3 of the same document instead (materially higher intensities) - not reproduced here.</t>
  </si>
  <si>
    <t>Return Period (yr) \ Duration (min)</t>
  </si>
  <si>
    <t>Hotspot Register</t>
  </si>
  <si>
    <t>One row per hotspot. Orange rows are EXAMPLES - replace with your own sites. Risk scores are 0 (none) to 3 (severe); Risk Score and Rank are calculated.</t>
  </si>
  <si>
    <t>Hotspot
ID</t>
  </si>
  <si>
    <t>Location / Description</t>
  </si>
  <si>
    <t>Catchment
Area (ha)</t>
  </si>
  <si>
    <t>Runoff Coeff
C (0-1)</t>
  </si>
  <si>
    <t>Time of
Concentration
tc (min)</t>
  </si>
  <si>
    <t>Network Design
Return Period (yr)</t>
  </si>
  <si>
    <t>Existing Network
Capacity Qcap
(m3/s)</t>
  </si>
  <si>
    <t>Available Pond
Capacity (m3)</t>
  </si>
  <si>
    <t>Elevation /
Low-point
Risk (0-3)</t>
  </si>
  <si>
    <t>Historical
Flooding
Risk (0-3)</t>
  </si>
  <si>
    <t>Distance-to-
Outfall
Risk (0-3)</t>
  </si>
  <si>
    <t>Critical Asset
Proximity
Risk (0-3)</t>
  </si>
  <si>
    <t>Imperviousness
Risk (0-3)</t>
  </si>
  <si>
    <t>Risk
Score</t>
  </si>
  <si>
    <t>Risk
Rank</t>
  </si>
  <si>
    <t>H1</t>
  </si>
  <si>
    <t>EXAMPLE - Underpass at main arterial / low-lying junction</t>
  </si>
  <si>
    <t>H2</t>
  </si>
  <si>
    <t>EXAMPLE - Residential low point, far from outfall</t>
  </si>
  <si>
    <t>H3</t>
  </si>
  <si>
    <t>EXAMPLE - Commercial/downtown catchment near coastline</t>
  </si>
  <si>
    <t>H4</t>
  </si>
  <si>
    <t>EXAMPLE - New residential district, sandy soil, gentle slope</t>
  </si>
  <si>
    <t>H5</t>
  </si>
  <si>
    <t>EXAMPLE - Airport-adjacent culvert catchment</t>
  </si>
  <si>
    <t>H6</t>
  </si>
  <si>
    <t>EXAMPLE - Government building precinct, basement car parks</t>
  </si>
  <si>
    <t>Scenario Calculator - Pond Volume &amp; Mobile Fleet Sizing per Hotspot x Return Period</t>
  </si>
  <si>
    <t>Enter each Hotspot ID against each Return Period you want to test (5/10/25/50/100 yr - matching IDF_Dubai rows). All other columns are formulas pulling from Hotspots, IDF_Dubai, and Assumptions.</t>
  </si>
  <si>
    <t>Hotspot ID</t>
  </si>
  <si>
    <t>Return
Period (yr)</t>
  </si>
  <si>
    <t>Hotspot Name</t>
  </si>
  <si>
    <t>tc (min)</t>
  </si>
  <si>
    <t>Duration
Bucket Used
(min)</t>
  </si>
  <si>
    <t>Rainfall
Intensity I
(mm/hr)</t>
  </si>
  <si>
    <t>Catchment
Area A (ha)</t>
  </si>
  <si>
    <t>Base Runoff
Coeff C</t>
  </si>
  <si>
    <t>Cf
Factor</t>
  </si>
  <si>
    <t>Adjusted C
(C x Cf, capped 1)</t>
  </si>
  <si>
    <t>Peak Flow Q
(m3/s)</t>
  </si>
  <si>
    <t>Excess Flow
(m3/s)</t>
  </si>
  <si>
    <t>Storm Duration
(sec)</t>
  </si>
  <si>
    <t>Hydrograph
Shape Factor</t>
  </si>
  <si>
    <t>Flood Volume
(m3)</t>
  </si>
  <si>
    <t>Sedimentation
Factor</t>
  </si>
  <si>
    <t>Required Pond
Volume (m3)</t>
  </si>
  <si>
    <t>Pond Shortfall
(m3)</t>
  </si>
  <si>
    <t>Drawdown
Time (hr)</t>
  </si>
  <si>
    <t>Residual Flow
Rate Needed
(m3/hr)</t>
  </si>
  <si>
    <t>Pump Unit
Capacity (m3/hr)</t>
  </si>
  <si>
    <t>Mobile Pumps
Required</t>
  </si>
  <si>
    <t>Tanker
Capacity (m3)</t>
  </si>
  <si>
    <t>Tanker Loads
Required</t>
  </si>
  <si>
    <t>Control-Room Fleet Summary - Total Readiness Required per Storm Scenario</t>
  </si>
  <si>
    <t>Sums Scenario_Calc across all hotspots for each return period - i.e. what the central command/control room should have staged and ready for a storm of that severity across the whole network.</t>
  </si>
  <si>
    <t>Total Peak Flow
Demand (m3/s)</t>
  </si>
  <si>
    <t>Total Excess
Flow (m3/s)</t>
  </si>
  <si>
    <t>Total Required
Pond Volume (m3)</t>
  </si>
  <si>
    <t>Total Available
Pond Volume (m3)</t>
  </si>
  <si>
    <t>Total Pond
Shortfall (m3)</t>
  </si>
  <si>
    <t>Total Mobile
Pumps Required</t>
  </si>
  <si>
    <t>Total Tanker
Loads Required</t>
  </si>
  <si>
    <t>Read this as: at a 1-in-100yr event, this is the total number of mobile pumps and tanker loads the control room should be able to mobilise network-wide, on top of whatever the existing network and ponds already absorb.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</si>
</sst>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1"/>
      <color rgb="FF40404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sz val="11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tabSelected="1" zoomScaleNormal="100" workbookViewId="0"/>
  </sheetViews>
  <sheetFormatPr defaultColWidth="8.7421875" defaultRowHeight="15" x14ac:dyDescent="0.2"/>
  <cols>
    <col min="1" max="1" width="2.95703125" customWidth="1"/>
    <col min="2" max="2" width="25.9609375" customWidth="1"/>
    <col min="3" max="3" width="94.97265625" customWidth="1"/>
  </cols>
  <sheetData>
    <row r="2" spans="2:3" ht="18" x14ac:dyDescent="0.2">
      <c r="B2" s="2" t="s">
        <v>0</v>
      </c>
    </row>
    <row r="3" spans="2:3" x14ac:dyDescent="0.2">
      <c r="B3" s="3" t="s">
        <v>1</v>
      </c>
    </row>
    <row r="5" spans="2:3" x14ac:dyDescent="0.2">
      <c r="B5" s="4" t="s">
        <v>2</v>
      </c>
      <c r="C5" s="5"/>
    </row>
    <row r="6" spans="2:3" ht="31.5" customHeight="1" x14ac:dyDescent="0.2">
      <c r="B6" s="6" t="s">
        <v>3</v>
      </c>
      <c r="C6" s="7" t="s">
        <v>4</v>
      </c>
    </row>
    <row r="7" spans="2:3" ht="31.5" customHeight="1" x14ac:dyDescent="0.2">
      <c r="B7" s="6" t="s">
        <v>5</v>
      </c>
      <c r="C7" s="7" t="s">
        <v>6</v>
      </c>
    </row>
    <row r="8" spans="2:3" ht="31.5" customHeight="1" x14ac:dyDescent="0.2">
      <c r="B8" s="6" t="s">
        <v>7</v>
      </c>
      <c r="C8" s="7" t="s">
        <v>8</v>
      </c>
    </row>
    <row r="9" spans="2:3" ht="31.5" customHeight="1" x14ac:dyDescent="0.2">
      <c r="B9" s="6" t="s">
        <v>9</v>
      </c>
      <c r="C9" s="7" t="s">
        <v>10</v>
      </c>
    </row>
    <row r="10" spans="2:3" ht="31.5" customHeight="1" x14ac:dyDescent="0.2">
      <c r="B10" s="6" t="s">
        <v>11</v>
      </c>
      <c r="C10" s="7" t="s">
        <v>12</v>
      </c>
    </row>
    <row r="11" spans="2:3" x14ac:dyDescent="0.2">
      <c r="B11" s="4" t="s">
        <v>13</v>
      </c>
      <c r="C11" s="5"/>
    </row>
    <row r="12" spans="2:3" ht="31.5" customHeight="1" x14ac:dyDescent="0.2">
      <c r="B12" s="6" t="s">
        <v>14</v>
      </c>
      <c r="C12" s="7" t="s">
        <v>15</v>
      </c>
    </row>
    <row r="13" spans="2:3" ht="31.5" customHeight="1" x14ac:dyDescent="0.2">
      <c r="B13" s="6" t="s">
        <v>16</v>
      </c>
      <c r="C13" s="7" t="s">
        <v>17</v>
      </c>
    </row>
    <row r="14" spans="2:3" ht="31.5" customHeight="1" x14ac:dyDescent="0.2">
      <c r="B14" s="6" t="s">
        <v>18</v>
      </c>
      <c r="C14" s="7" t="s">
        <v>19</v>
      </c>
    </row>
    <row r="15" spans="2:3" x14ac:dyDescent="0.2">
      <c r="B15" s="4" t="s">
        <v>20</v>
      </c>
      <c r="C15" s="5"/>
    </row>
    <row r="16" spans="2:3" ht="31.5" customHeight="1" x14ac:dyDescent="0.2">
      <c r="B16" s="6" t="s">
        <v>21</v>
      </c>
      <c r="C16" s="7" t="s">
        <v>22</v>
      </c>
    </row>
    <row r="17" spans="2:3" ht="31.5" customHeight="1" x14ac:dyDescent="0.2">
      <c r="B17" s="6" t="s">
        <v>23</v>
      </c>
      <c r="C17" s="7" t="s">
        <v>24</v>
      </c>
    </row>
    <row r="18" spans="2:3" ht="31.5" customHeight="1" x14ac:dyDescent="0.2">
      <c r="B18" s="6" t="s">
        <v>25</v>
      </c>
      <c r="C18" s="7" t="s">
        <v>26</v>
      </c>
    </row>
    <row r="19" spans="2:3" x14ac:dyDescent="0.2">
      <c r="B19" s="5"/>
      <c r="C19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9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34.03125" customWidth="1"/>
    <col min="3" max="3" width="11.97265625" customWidth="1"/>
    <col min="4" max="4" width="69.94921875" customWidth="1"/>
  </cols>
  <sheetData>
    <row r="2" spans="2:4" ht="18" x14ac:dyDescent="0.2">
      <c r="B2" s="2" t="s">
        <v>27</v>
      </c>
    </row>
    <row r="3" spans="2:4" x14ac:dyDescent="0.2">
      <c r="B3" s="8" t="s">
        <v>28</v>
      </c>
    </row>
    <row r="5" spans="2:4" x14ac:dyDescent="0.2">
      <c r="B5" s="9" t="s">
        <v>29</v>
      </c>
      <c r="C5" s="9" t="s">
        <v>30</v>
      </c>
      <c r="D5" s="9" t="s">
        <v>31</v>
      </c>
    </row>
    <row r="6" spans="2:4" ht="48" customHeight="1" x14ac:dyDescent="0.2">
      <c r="B6" s="7" t="s">
        <v>32</v>
      </c>
      <c r="C6" s="10">
        <v>1.05</v>
      </c>
      <c r="D6" s="11" t="s">
        <v>33</v>
      </c>
    </row>
    <row r="7" spans="2:4" ht="48" customHeight="1" x14ac:dyDescent="0.2">
      <c r="B7" s="7" t="s">
        <v>34</v>
      </c>
      <c r="C7" s="10">
        <v>0.5</v>
      </c>
      <c r="D7" s="11" t="s">
        <v>35</v>
      </c>
    </row>
    <row r="8" spans="2:4" ht="48" customHeight="1" x14ac:dyDescent="0.2">
      <c r="B8" s="7" t="s">
        <v>36</v>
      </c>
      <c r="C8" s="10">
        <v>2</v>
      </c>
      <c r="D8" s="11" t="s">
        <v>37</v>
      </c>
    </row>
    <row r="9" spans="2:4" ht="48" customHeight="1" x14ac:dyDescent="0.2">
      <c r="B9" s="7" t="s">
        <v>38</v>
      </c>
      <c r="C9" s="10">
        <v>300</v>
      </c>
      <c r="D9" s="11" t="s">
        <v>39</v>
      </c>
    </row>
    <row r="10" spans="2:4" ht="48" customHeight="1" x14ac:dyDescent="0.2">
      <c r="B10" s="7" t="s">
        <v>40</v>
      </c>
      <c r="C10" s="10">
        <v>15</v>
      </c>
      <c r="D10" s="11" t="s">
        <v>41</v>
      </c>
    </row>
    <row r="11" spans="2:4" x14ac:dyDescent="0.2">
      <c r="B11" s="5"/>
      <c r="C11" s="5"/>
      <c r="D11" s="5"/>
    </row>
    <row r="12" spans="2:4" x14ac:dyDescent="0.2">
      <c r="B12" s="4" t="s">
        <v>42</v>
      </c>
      <c r="C12" s="5"/>
      <c r="D12" s="5"/>
    </row>
    <row r="13" spans="2:4" ht="27.75" customHeight="1" x14ac:dyDescent="0.2">
      <c r="B13" s="11" t="s">
        <v>43</v>
      </c>
      <c r="C13" s="5"/>
      <c r="D13" s="5"/>
    </row>
    <row r="14" spans="2:4" x14ac:dyDescent="0.2">
      <c r="B14" s="9" t="s">
        <v>44</v>
      </c>
      <c r="C14" s="9" t="s">
        <v>45</v>
      </c>
      <c r="D14" s="5"/>
    </row>
    <row r="15" spans="2:4" x14ac:dyDescent="0.2">
      <c r="B15" s="12">
        <v>5</v>
      </c>
      <c r="C15" s="12">
        <v>1</v>
      </c>
      <c r="D15" s="5"/>
    </row>
    <row r="16" spans="2:4" x14ac:dyDescent="0.2">
      <c r="B16" s="12">
        <v>10</v>
      </c>
      <c r="C16" s="12">
        <v>1</v>
      </c>
      <c r="D16" s="5"/>
    </row>
    <row r="17" spans="2:4" x14ac:dyDescent="0.2">
      <c r="B17" s="12">
        <v>25</v>
      </c>
      <c r="C17" s="12">
        <v>1.1000000000000001</v>
      </c>
      <c r="D17" s="5"/>
    </row>
    <row r="18" spans="2:4" x14ac:dyDescent="0.2">
      <c r="B18" s="12">
        <v>50</v>
      </c>
      <c r="C18" s="12">
        <v>1.2</v>
      </c>
      <c r="D18" s="5"/>
    </row>
    <row r="19" spans="2:4" x14ac:dyDescent="0.2">
      <c r="B19" s="12">
        <v>100</v>
      </c>
      <c r="C19" s="12">
        <v>1.25</v>
      </c>
      <c r="D19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3"/>
  <sheetViews>
    <sheetView zoomScaleNormal="100" workbookViewId="0"/>
  </sheetViews>
  <sheetFormatPr defaultColWidth="8.7421875" defaultRowHeight="15" x14ac:dyDescent="0.2"/>
  <cols>
    <col min="1" max="1" width="27.98046875" customWidth="1"/>
    <col min="2" max="16" width="7.93359375" customWidth="1"/>
  </cols>
  <sheetData>
    <row r="2" spans="1:16" ht="18" x14ac:dyDescent="0.2">
      <c r="B2" s="2" t="s">
        <v>46</v>
      </c>
    </row>
    <row r="3" spans="1:16" ht="27.75" customHeight="1" x14ac:dyDescent="0.2">
      <c r="B3" s="13" t="s">
        <v>47</v>
      </c>
    </row>
    <row r="4" spans="1:16" x14ac:dyDescent="0.2">
      <c r="B4" s="8" t="s">
        <v>48</v>
      </c>
    </row>
    <row r="6" spans="1:16" ht="27" x14ac:dyDescent="0.2">
      <c r="A6" s="9" t="s">
        <v>49</v>
      </c>
      <c r="B6" s="9">
        <v>5</v>
      </c>
      <c r="C6" s="9">
        <v>10</v>
      </c>
      <c r="D6" s="9">
        <v>15</v>
      </c>
      <c r="E6" s="9">
        <v>20</v>
      </c>
      <c r="F6" s="9">
        <v>30</v>
      </c>
      <c r="G6" s="9">
        <v>45</v>
      </c>
      <c r="H6" s="9">
        <v>60</v>
      </c>
      <c r="I6" s="9">
        <v>90</v>
      </c>
      <c r="J6" s="9">
        <v>120</v>
      </c>
      <c r="K6" s="9">
        <v>180</v>
      </c>
      <c r="L6" s="9">
        <v>240</v>
      </c>
      <c r="M6" s="9">
        <v>300</v>
      </c>
      <c r="N6" s="9">
        <v>360</v>
      </c>
      <c r="O6" s="9">
        <v>720</v>
      </c>
      <c r="P6" s="9">
        <v>1440</v>
      </c>
    </row>
    <row r="7" spans="1:16" x14ac:dyDescent="0.2">
      <c r="A7" s="14">
        <v>2</v>
      </c>
      <c r="B7" s="15">
        <v>59.9</v>
      </c>
      <c r="C7" s="15">
        <v>45.22</v>
      </c>
      <c r="D7" s="15">
        <v>37.15</v>
      </c>
      <c r="E7" s="15">
        <v>31.1</v>
      </c>
      <c r="F7" s="15">
        <v>23.57</v>
      </c>
      <c r="G7" s="15">
        <v>17.440000000000001</v>
      </c>
      <c r="H7" s="15">
        <v>13.87</v>
      </c>
      <c r="I7" s="15">
        <v>10.220000000000001</v>
      </c>
      <c r="J7" s="15">
        <v>8.18</v>
      </c>
      <c r="K7" s="15">
        <v>5.92</v>
      </c>
      <c r="L7" s="15">
        <v>4.7300000000000004</v>
      </c>
      <c r="M7" s="15">
        <v>3.96</v>
      </c>
      <c r="N7" s="15">
        <v>3.38</v>
      </c>
      <c r="O7" s="15">
        <v>1.93</v>
      </c>
      <c r="P7" s="15">
        <v>1</v>
      </c>
    </row>
    <row r="8" spans="1:16" x14ac:dyDescent="0.2">
      <c r="A8" s="14">
        <v>5</v>
      </c>
      <c r="B8" s="15">
        <v>97.41</v>
      </c>
      <c r="C8" s="15">
        <v>76.98</v>
      </c>
      <c r="D8" s="15">
        <v>63.34</v>
      </c>
      <c r="E8" s="15">
        <v>53.54</v>
      </c>
      <c r="F8" s="15">
        <v>41.68</v>
      </c>
      <c r="G8" s="15">
        <v>31.78</v>
      </c>
      <c r="H8" s="15">
        <v>25.35</v>
      </c>
      <c r="I8" s="15">
        <v>18.66</v>
      </c>
      <c r="J8" s="15">
        <v>15.11</v>
      </c>
      <c r="K8" s="15">
        <v>10.81</v>
      </c>
      <c r="L8" s="15">
        <v>8.6199999999999992</v>
      </c>
      <c r="M8" s="15">
        <v>7.21</v>
      </c>
      <c r="N8" s="15">
        <v>6.22</v>
      </c>
      <c r="O8" s="15">
        <v>3.68</v>
      </c>
      <c r="P8" s="15">
        <v>1.93</v>
      </c>
    </row>
    <row r="9" spans="1:16" x14ac:dyDescent="0.2">
      <c r="A9" s="14">
        <v>10</v>
      </c>
      <c r="B9" s="15">
        <v>118</v>
      </c>
      <c r="C9" s="15">
        <v>97.61</v>
      </c>
      <c r="D9" s="15">
        <v>80.41</v>
      </c>
      <c r="E9" s="15">
        <v>68.58</v>
      </c>
      <c r="F9" s="15">
        <v>54.72</v>
      </c>
      <c r="G9" s="15">
        <v>42.82</v>
      </c>
      <c r="H9" s="15">
        <v>34.22</v>
      </c>
      <c r="I9" s="15">
        <v>25.18</v>
      </c>
      <c r="J9" s="15">
        <v>20.57</v>
      </c>
      <c r="K9" s="15">
        <v>14.6</v>
      </c>
      <c r="L9" s="15">
        <v>11.61</v>
      </c>
      <c r="M9" s="15">
        <v>9.73</v>
      </c>
      <c r="N9" s="15">
        <v>8.44</v>
      </c>
      <c r="O9" s="15">
        <v>5.13</v>
      </c>
      <c r="P9" s="15">
        <v>2.71</v>
      </c>
    </row>
    <row r="10" spans="1:16" x14ac:dyDescent="0.2">
      <c r="A10" s="14">
        <v>20</v>
      </c>
      <c r="B10" s="15">
        <v>131.22999999999999</v>
      </c>
      <c r="C10" s="15">
        <v>115.25</v>
      </c>
      <c r="D10" s="15">
        <v>95.09</v>
      </c>
      <c r="E10" s="15">
        <v>82.01</v>
      </c>
      <c r="F10" s="15">
        <v>67.36</v>
      </c>
      <c r="G10" s="15">
        <v>54.26</v>
      </c>
      <c r="H10" s="15">
        <v>43.46</v>
      </c>
      <c r="I10" s="15">
        <v>31.95</v>
      </c>
      <c r="J10" s="15">
        <v>26.37</v>
      </c>
      <c r="K10" s="15">
        <v>18.54</v>
      </c>
      <c r="L10" s="15">
        <v>14.7</v>
      </c>
      <c r="M10" s="15">
        <v>12.34</v>
      </c>
      <c r="N10" s="15">
        <v>10.79</v>
      </c>
      <c r="O10" s="15">
        <v>6.75</v>
      </c>
      <c r="P10" s="15">
        <v>3.59</v>
      </c>
    </row>
    <row r="11" spans="1:16" x14ac:dyDescent="0.2">
      <c r="A11" s="14">
        <v>25</v>
      </c>
      <c r="B11" s="15">
        <v>133.66</v>
      </c>
      <c r="C11" s="15">
        <v>120.18</v>
      </c>
      <c r="D11" s="15">
        <v>99.22</v>
      </c>
      <c r="E11" s="15">
        <v>85.92</v>
      </c>
      <c r="F11" s="15">
        <v>71.319999999999993</v>
      </c>
      <c r="G11" s="15">
        <v>58.03</v>
      </c>
      <c r="H11" s="15">
        <v>46.52</v>
      </c>
      <c r="I11" s="15">
        <v>34.200000000000003</v>
      </c>
      <c r="J11" s="15">
        <v>28.31</v>
      </c>
      <c r="K11" s="15">
        <v>19.84</v>
      </c>
      <c r="L11" s="15">
        <v>15.72</v>
      </c>
      <c r="M11" s="15">
        <v>13.2</v>
      </c>
      <c r="N11" s="15">
        <v>11.58</v>
      </c>
      <c r="O11" s="15">
        <v>7.31</v>
      </c>
      <c r="P11" s="15">
        <v>3.9</v>
      </c>
    </row>
    <row r="12" spans="1:16" x14ac:dyDescent="0.2">
      <c r="A12" s="14">
        <v>50</v>
      </c>
      <c r="B12" s="15">
        <v>169.22</v>
      </c>
      <c r="C12" s="15">
        <v>152.15</v>
      </c>
      <c r="D12" s="15">
        <v>125.61</v>
      </c>
      <c r="E12" s="15">
        <v>108.78</v>
      </c>
      <c r="F12" s="15">
        <v>90.3</v>
      </c>
      <c r="G12" s="15">
        <v>73.47</v>
      </c>
      <c r="H12" s="15">
        <v>58.89</v>
      </c>
      <c r="I12" s="15">
        <v>43.29</v>
      </c>
      <c r="J12" s="15">
        <v>35.85</v>
      </c>
      <c r="K12" s="15">
        <v>25.12</v>
      </c>
      <c r="L12" s="15">
        <v>19.91</v>
      </c>
      <c r="M12" s="15">
        <v>16.71</v>
      </c>
      <c r="N12" s="15">
        <v>14.65</v>
      </c>
      <c r="O12" s="15">
        <v>9.25</v>
      </c>
      <c r="P12" s="15">
        <v>4.9400000000000004</v>
      </c>
    </row>
    <row r="13" spans="1:16" x14ac:dyDescent="0.2">
      <c r="A13" s="14">
        <v>100</v>
      </c>
      <c r="B13" s="15">
        <v>209.2</v>
      </c>
      <c r="C13" s="15">
        <v>188.11</v>
      </c>
      <c r="D13" s="15">
        <v>155.29</v>
      </c>
      <c r="E13" s="15">
        <v>134.49</v>
      </c>
      <c r="F13" s="15">
        <v>111.63</v>
      </c>
      <c r="G13" s="15">
        <v>90.83</v>
      </c>
      <c r="H13" s="15">
        <v>72.81</v>
      </c>
      <c r="I13" s="15">
        <v>53.52</v>
      </c>
      <c r="J13" s="15">
        <v>44.32</v>
      </c>
      <c r="K13" s="15">
        <v>31.06</v>
      </c>
      <c r="L13" s="15">
        <v>24.61</v>
      </c>
      <c r="M13" s="15">
        <v>20.66</v>
      </c>
      <c r="N13" s="15">
        <v>18.12</v>
      </c>
      <c r="O13" s="15">
        <v>11.44</v>
      </c>
      <c r="P13" s="15">
        <v>6.1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6"/>
  <sheetViews>
    <sheetView zoomScaleNormal="100" workbookViewId="0"/>
  </sheetViews>
  <sheetFormatPr defaultColWidth="8.7421875" defaultRowHeight="15" x14ac:dyDescent="0.2"/>
  <cols>
    <col min="1" max="1" width="7.93359375" customWidth="1"/>
    <col min="2" max="2" width="41.96875" customWidth="1"/>
    <col min="3" max="4" width="11.02734375" customWidth="1"/>
    <col min="5" max="6" width="11.97265625" customWidth="1"/>
    <col min="7" max="8" width="13.046875" customWidth="1"/>
    <col min="9" max="13" width="9.953125" customWidth="1"/>
    <col min="14" max="15" width="7.93359375" customWidth="1"/>
  </cols>
  <sheetData>
    <row r="2" spans="1:15" ht="18" x14ac:dyDescent="0.2">
      <c r="B2" s="2" t="s">
        <v>50</v>
      </c>
    </row>
    <row r="3" spans="1:15" ht="27.75" customHeight="1" x14ac:dyDescent="0.2">
      <c r="B3" s="13" t="s">
        <v>51</v>
      </c>
    </row>
    <row r="5" spans="1:15" ht="48" customHeight="1" x14ac:dyDescent="0.2">
      <c r="A5" s="9" t="s">
        <v>52</v>
      </c>
      <c r="B5" s="9" t="s">
        <v>53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58</v>
      </c>
      <c r="H5" s="9" t="s">
        <v>59</v>
      </c>
      <c r="I5" s="9" t="s">
        <v>60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</row>
    <row r="6" spans="1:15" ht="27" x14ac:dyDescent="0.2">
      <c r="A6" s="16" t="s">
        <v>67</v>
      </c>
      <c r="B6" s="17" t="s">
        <v>68</v>
      </c>
      <c r="C6" s="16">
        <v>12</v>
      </c>
      <c r="D6" s="16">
        <v>0.75</v>
      </c>
      <c r="E6" s="16">
        <v>20</v>
      </c>
      <c r="F6" s="16">
        <v>10</v>
      </c>
      <c r="G6" s="16">
        <v>1.8</v>
      </c>
      <c r="H6" s="16">
        <v>0</v>
      </c>
      <c r="I6" s="16">
        <v>3</v>
      </c>
      <c r="J6" s="16">
        <v>3</v>
      </c>
      <c r="K6" s="16">
        <v>1</v>
      </c>
      <c r="L6" s="16">
        <v>3</v>
      </c>
      <c r="M6" s="16">
        <v>3</v>
      </c>
      <c r="N6" s="18">
        <f>SUM(I6:M6)</f>
        <v>13</v>
      </c>
      <c r="O6" s="18">
        <f>RANK(N6,$N$6:$N$11)</f>
        <v>1</v>
      </c>
    </row>
    <row r="7" spans="1:15" ht="27" x14ac:dyDescent="0.2">
      <c r="A7" s="16" t="s">
        <v>69</v>
      </c>
      <c r="B7" s="17" t="s">
        <v>70</v>
      </c>
      <c r="C7" s="16">
        <v>35</v>
      </c>
      <c r="D7" s="16">
        <v>0.45</v>
      </c>
      <c r="E7" s="16">
        <v>45</v>
      </c>
      <c r="F7" s="16">
        <v>5</v>
      </c>
      <c r="G7" s="16">
        <v>2.6</v>
      </c>
      <c r="H7" s="16">
        <v>4500</v>
      </c>
      <c r="I7" s="16">
        <v>3</v>
      </c>
      <c r="J7" s="16">
        <v>2</v>
      </c>
      <c r="K7" s="16">
        <v>3</v>
      </c>
      <c r="L7" s="16">
        <v>0</v>
      </c>
      <c r="M7" s="16">
        <v>1</v>
      </c>
      <c r="N7" s="18">
        <f>SUM(I7:M7)</f>
        <v>9</v>
      </c>
      <c r="O7" s="18">
        <f>RANK(N7,$N$6:$N$11)</f>
        <v>3</v>
      </c>
    </row>
    <row r="8" spans="1:15" ht="27" x14ac:dyDescent="0.2">
      <c r="A8" s="16" t="s">
        <v>71</v>
      </c>
      <c r="B8" s="17" t="s">
        <v>72</v>
      </c>
      <c r="C8" s="16">
        <v>22</v>
      </c>
      <c r="D8" s="16">
        <v>0.85</v>
      </c>
      <c r="E8" s="16">
        <v>25</v>
      </c>
      <c r="F8" s="16">
        <v>10</v>
      </c>
      <c r="G8" s="16">
        <v>3.1</v>
      </c>
      <c r="H8" s="16">
        <v>8000</v>
      </c>
      <c r="I8" s="16">
        <v>1</v>
      </c>
      <c r="J8" s="16">
        <v>1</v>
      </c>
      <c r="K8" s="16">
        <v>0</v>
      </c>
      <c r="L8" s="16">
        <v>1</v>
      </c>
      <c r="M8" s="16">
        <v>3</v>
      </c>
      <c r="N8" s="18">
        <f>SUM(I8:M8)</f>
        <v>6</v>
      </c>
      <c r="O8" s="18">
        <f>RANK(N8,$N$6:$N$11)</f>
        <v>5</v>
      </c>
    </row>
    <row r="9" spans="1:15" ht="27" x14ac:dyDescent="0.2">
      <c r="A9" s="16" t="s">
        <v>73</v>
      </c>
      <c r="B9" s="17" t="s">
        <v>74</v>
      </c>
      <c r="C9" s="16">
        <v>60</v>
      </c>
      <c r="D9" s="16">
        <v>0.35</v>
      </c>
      <c r="E9" s="16">
        <v>60</v>
      </c>
      <c r="F9" s="16">
        <v>5</v>
      </c>
      <c r="G9" s="16">
        <v>3.4</v>
      </c>
      <c r="H9" s="16">
        <v>0</v>
      </c>
      <c r="I9" s="16">
        <v>1</v>
      </c>
      <c r="J9" s="16">
        <v>0</v>
      </c>
      <c r="K9" s="16">
        <v>1</v>
      </c>
      <c r="L9" s="16">
        <v>0</v>
      </c>
      <c r="M9" s="16">
        <v>0</v>
      </c>
      <c r="N9" s="18">
        <f>SUM(I9:M9)</f>
        <v>2</v>
      </c>
      <c r="O9" s="18">
        <f>RANK(N9,$N$6:$N$11)</f>
        <v>6</v>
      </c>
    </row>
    <row r="10" spans="1:15" x14ac:dyDescent="0.2">
      <c r="A10" s="16" t="s">
        <v>75</v>
      </c>
      <c r="B10" s="17" t="s">
        <v>76</v>
      </c>
      <c r="C10" s="16">
        <v>40</v>
      </c>
      <c r="D10" s="16">
        <v>0.6</v>
      </c>
      <c r="E10" s="16">
        <v>30</v>
      </c>
      <c r="F10" s="16">
        <v>25</v>
      </c>
      <c r="G10" s="16">
        <v>4</v>
      </c>
      <c r="H10" s="16">
        <v>6000</v>
      </c>
      <c r="I10" s="16">
        <v>2</v>
      </c>
      <c r="J10" s="16">
        <v>1</v>
      </c>
      <c r="K10" s="16">
        <v>1</v>
      </c>
      <c r="L10" s="16">
        <v>3</v>
      </c>
      <c r="M10" s="16">
        <v>2</v>
      </c>
      <c r="N10" s="18">
        <f>SUM(I10:M10)</f>
        <v>9</v>
      </c>
      <c r="O10" s="18">
        <f>RANK(N10,$N$6:$N$11)</f>
        <v>3</v>
      </c>
    </row>
    <row r="11" spans="1:15" ht="27" x14ac:dyDescent="0.2">
      <c r="A11" s="16" t="s">
        <v>77</v>
      </c>
      <c r="B11" s="17" t="s">
        <v>78</v>
      </c>
      <c r="C11" s="16">
        <v>8</v>
      </c>
      <c r="D11" s="16">
        <v>0.8</v>
      </c>
      <c r="E11" s="16">
        <v>15</v>
      </c>
      <c r="F11" s="16">
        <v>10</v>
      </c>
      <c r="G11" s="16">
        <v>1.2</v>
      </c>
      <c r="H11" s="16">
        <v>2000</v>
      </c>
      <c r="I11" s="16">
        <v>2</v>
      </c>
      <c r="J11" s="16">
        <v>2</v>
      </c>
      <c r="K11" s="16">
        <v>2</v>
      </c>
      <c r="L11" s="16">
        <v>3</v>
      </c>
      <c r="M11" s="16">
        <v>2</v>
      </c>
      <c r="N11" s="18">
        <f>SUM(I11:M11)</f>
        <v>11</v>
      </c>
      <c r="O11" s="18">
        <f>RANK(N11,$N$6:$N$11)</f>
        <v>2</v>
      </c>
    </row>
    <row r="12" spans="1:1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4" t="str">
        <f>IF(A12="","",SUM(I12:M12))</f>
        <v/>
      </c>
      <c r="O12" s="14" t="str">
        <f>IF(A12="","",RANK(N12,$N$6:$N$16))</f>
        <v/>
      </c>
    </row>
    <row r="13" spans="1:15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4" t="str">
        <f>IF(A13="","",SUM(I13:M13))</f>
        <v/>
      </c>
      <c r="O13" s="14" t="str">
        <f>IF(A13="","",RANK(N13,$N$6:$N$16))</f>
        <v/>
      </c>
    </row>
    <row r="14" spans="1:15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4" t="str">
        <f>IF(A14="","",SUM(I14:M14))</f>
        <v/>
      </c>
      <c r="O14" s="14" t="str">
        <f>IF(A14="","",RANK(N14,$N$6:$N$16))</f>
        <v/>
      </c>
    </row>
    <row r="15" spans="1:15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4" t="str">
        <f>IF(A15="","",SUM(I15:M15))</f>
        <v/>
      </c>
      <c r="O15" s="14" t="str">
        <f>IF(A15="","",RANK(N15,$N$6:$N$16))</f>
        <v/>
      </c>
    </row>
    <row r="16" spans="1:15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4" t="str">
        <f>IF(A16="","",SUM(I16:M16))</f>
        <v/>
      </c>
      <c r="O16" s="14" t="str">
        <f>IF(A16="","",RANK(N16,$N$6:$N$16))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35"/>
  <sheetViews>
    <sheetView zoomScaleNormal="100" workbookViewId="0">
      <pane xSplit="2" ySplit="5" topLeftCell="C6" activePane="bottomRight" state="frozen"/>
      <selection pane="bottomLeft" activeCell="A6" sqref="A6"/>
      <selection pane="topRight" activeCell="C1" sqref="C1"/>
      <selection pane="bottomRight"/>
    </sheetView>
  </sheetViews>
  <sheetFormatPr defaultColWidth="8.7421875" defaultRowHeight="15" x14ac:dyDescent="0.2"/>
  <cols>
    <col min="1" max="2" width="9.01171875" customWidth="1"/>
    <col min="3" max="26" width="11.02734375" customWidth="1"/>
  </cols>
  <sheetData>
    <row r="2" spans="1:26" ht="18" x14ac:dyDescent="0.2">
      <c r="B2" s="2" t="s">
        <v>79</v>
      </c>
    </row>
    <row r="3" spans="1:26" ht="27.75" customHeight="1" x14ac:dyDescent="0.2">
      <c r="B3" s="13" t="s">
        <v>80</v>
      </c>
    </row>
    <row r="5" spans="1:26" ht="51.75" customHeight="1" x14ac:dyDescent="0.2">
      <c r="A5" s="9" t="s">
        <v>81</v>
      </c>
      <c r="B5" s="9" t="s">
        <v>82</v>
      </c>
      <c r="C5" s="9" t="s">
        <v>83</v>
      </c>
      <c r="D5" s="9" t="s">
        <v>84</v>
      </c>
      <c r="E5" s="9" t="s">
        <v>85</v>
      </c>
      <c r="F5" s="9" t="s">
        <v>86</v>
      </c>
      <c r="G5" s="9" t="s">
        <v>87</v>
      </c>
      <c r="H5" s="9" t="s">
        <v>88</v>
      </c>
      <c r="I5" s="9" t="s">
        <v>89</v>
      </c>
      <c r="J5" s="9" t="s">
        <v>90</v>
      </c>
      <c r="K5" s="9" t="s">
        <v>91</v>
      </c>
      <c r="L5" s="9" t="s">
        <v>58</v>
      </c>
      <c r="M5" s="9" t="s">
        <v>92</v>
      </c>
      <c r="N5" s="9" t="s">
        <v>93</v>
      </c>
      <c r="O5" s="9" t="s">
        <v>94</v>
      </c>
      <c r="P5" s="9" t="s">
        <v>95</v>
      </c>
      <c r="Q5" s="9" t="s">
        <v>96</v>
      </c>
      <c r="R5" s="9" t="s">
        <v>97</v>
      </c>
      <c r="S5" s="9" t="s">
        <v>59</v>
      </c>
      <c r="T5" s="9" t="s">
        <v>98</v>
      </c>
      <c r="U5" s="9" t="s">
        <v>99</v>
      </c>
      <c r="V5" s="9" t="s">
        <v>100</v>
      </c>
      <c r="W5" s="9" t="s">
        <v>101</v>
      </c>
      <c r="X5" s="9" t="s">
        <v>102</v>
      </c>
      <c r="Y5" s="9" t="s">
        <v>103</v>
      </c>
      <c r="Z5" s="9" t="s">
        <v>104</v>
      </c>
    </row>
    <row r="6" spans="1:26" ht="90" x14ac:dyDescent="0.2">
      <c r="A6" s="19" t="s">
        <v>67</v>
      </c>
      <c r="B6" s="19">
        <v>5</v>
      </c>
      <c r="C6" s="12" t="str">
        <f>IFERROR(INDEX(Hotspots!$B$6:$B$16,MATCH($A6,Hotspots!$A$6:$A$16,0)),"")</f>
        <v>EXAMPLE - Underpass at main arterial / low-lying junction</v>
      </c>
      <c r="D6" s="12">
        <f>IFERROR(INDEX(Hotspots!$E$6:$E$16,MATCH($A6,Hotspots!$A$6:$A$16,0)),"")</f>
        <v>20</v>
      </c>
      <c r="E6" s="12">
        <f>IFERROR(INDEX(IDF_Dubai!$B$6:$P$6,MATCH(D6,IDF_Dubai!$B$6:$P$6,1)),"")</f>
        <v>20</v>
      </c>
      <c r="F6" s="15">
        <f>IFERROR(INDEX(IDF_Dubai!$B$7:$P$13,MATCH($B6,IDF_Dubai!$A$7:$A$13,0),MATCH(E6,IDF_Dubai!$B$6:$P$6,1)),"")</f>
        <v>53.54</v>
      </c>
      <c r="G6" s="20">
        <f>IFERROR(INDEX(Hotspots!$C$6:$C$16,MATCH($A6,Hotspots!$A$6:$A$16,0)),"")</f>
        <v>12</v>
      </c>
      <c r="H6" s="15">
        <f>IFERROR(INDEX(Hotspots!$D$6:$D$16,MATCH($A6,Hotspots!$A$6:$A$16,0)),"")</f>
        <v>0.75</v>
      </c>
      <c r="I6" s="15">
        <f>IFERROR(INDEX(Assumptions!$C$15:$C$19,MATCH($B6,Assumptions!$B$15:$B$19,0)),1)</f>
        <v>1</v>
      </c>
      <c r="J6" s="15">
        <f>IF(OR(H6="",I6=""),"",MIN(H6*I6,1))</f>
        <v>0.75</v>
      </c>
      <c r="K6" s="15">
        <f>IF(OR(J6="",F6="",G6=""),"",J6*F6*G6/360)</f>
        <v>1.3385</v>
      </c>
      <c r="L6" s="15">
        <f>IFERROR(INDEX(Hotspots!$G$6:$G$16,MATCH($A6,Hotspots!$A$6:$A$16,0)),"")</f>
        <v>1.8</v>
      </c>
      <c r="M6" s="15">
        <f>IF(OR(K6="",L6=""),"",MAX(0,K6-L6))</f>
        <v>0</v>
      </c>
      <c r="N6" s="21">
        <f>IF(E6="","",E6*60)</f>
        <v>1200</v>
      </c>
      <c r="O6" s="15">
        <f>Assumptions!$C$7</f>
        <v>0.5</v>
      </c>
      <c r="P6" s="22">
        <f>IF(OR(M6="",N6=""),"",M6*N6*O6)</f>
        <v>0</v>
      </c>
      <c r="Q6" s="15">
        <f>Assumptions!$C$6</f>
        <v>1.05</v>
      </c>
      <c r="R6" s="22">
        <f>IF(P6="","",P6*Q6)</f>
        <v>0</v>
      </c>
      <c r="S6" s="22">
        <f>IFERROR(INDEX(Hotspots!$H$6:$H$16,MATCH($A6,Hotspots!$A$6:$A$16,0)),"")</f>
        <v>0</v>
      </c>
      <c r="T6" s="22">
        <f>IF(OR(R6="",S6=""),"",MAX(0,R6-S6))</f>
        <v>0</v>
      </c>
      <c r="U6" s="20">
        <f>Assumptions!$C$8</f>
        <v>2</v>
      </c>
      <c r="V6" s="22">
        <f>IF(OR(T6="",U6=0),0,T6/U6)</f>
        <v>0</v>
      </c>
      <c r="W6" s="22">
        <f>Assumptions!$C$9</f>
        <v>300</v>
      </c>
      <c r="X6" s="21">
        <f>IF(OR(V6=0,W6=0),0,ROUNDUP(V6/W6,0))</f>
        <v>0</v>
      </c>
      <c r="Y6" s="22">
        <f>Assumptions!$C$10</f>
        <v>15</v>
      </c>
      <c r="Z6" s="21">
        <f>IF(OR(T6="",T6=0),0,ROUNDUP(T6/Y6,0))</f>
        <v>0</v>
      </c>
    </row>
    <row r="7" spans="1:26" ht="90" x14ac:dyDescent="0.2">
      <c r="A7" s="19" t="s">
        <v>67</v>
      </c>
      <c r="B7" s="19">
        <v>10</v>
      </c>
      <c r="C7" s="12" t="str">
        <f>IFERROR(INDEX(Hotspots!$B$6:$B$16,MATCH($A7,Hotspots!$A$6:$A$16,0)),"")</f>
        <v>EXAMPLE - Underpass at main arterial / low-lying junction</v>
      </c>
      <c r="D7" s="12">
        <f>IFERROR(INDEX(Hotspots!$E$6:$E$16,MATCH($A7,Hotspots!$A$6:$A$16,0)),"")</f>
        <v>20</v>
      </c>
      <c r="E7" s="12">
        <f>IFERROR(INDEX(IDF_Dubai!$B$6:$P$6,MATCH(D7,IDF_Dubai!$B$6:$P$6,1)),"")</f>
        <v>20</v>
      </c>
      <c r="F7" s="15">
        <f>IFERROR(INDEX(IDF_Dubai!$B$7:$P$13,MATCH($B7,IDF_Dubai!$A$7:$A$13,0),MATCH(E7,IDF_Dubai!$B$6:$P$6,1)),"")</f>
        <v>68.58</v>
      </c>
      <c r="G7" s="20">
        <f>IFERROR(INDEX(Hotspots!$C$6:$C$16,MATCH($A7,Hotspots!$A$6:$A$16,0)),"")</f>
        <v>12</v>
      </c>
      <c r="H7" s="15">
        <f>IFERROR(INDEX(Hotspots!$D$6:$D$16,MATCH($A7,Hotspots!$A$6:$A$16,0)),"")</f>
        <v>0.75</v>
      </c>
      <c r="I7" s="15">
        <f>IFERROR(INDEX(Assumptions!$C$15:$C$19,MATCH($B7,Assumptions!$B$15:$B$19,0)),1)</f>
        <v>1</v>
      </c>
      <c r="J7" s="15">
        <f>IF(OR(H7="",I7=""),"",MIN(H7*I7,1))</f>
        <v>0.75</v>
      </c>
      <c r="K7" s="15">
        <f>IF(OR(J7="",F7="",G7=""),"",J7*F7*G7/360)</f>
        <v>1.7145000000000001</v>
      </c>
      <c r="L7" s="15">
        <f>IFERROR(INDEX(Hotspots!$G$6:$G$16,MATCH($A7,Hotspots!$A$6:$A$16,0)),"")</f>
        <v>1.8</v>
      </c>
      <c r="M7" s="15">
        <f>IF(OR(K7="",L7=""),"",MAX(0,K7-L7))</f>
        <v>0</v>
      </c>
      <c r="N7" s="21">
        <f>IF(E7="","",E7*60)</f>
        <v>1200</v>
      </c>
      <c r="O7" s="15">
        <f>Assumptions!$C$7</f>
        <v>0.5</v>
      </c>
      <c r="P7" s="22">
        <f>IF(OR(M7="",N7=""),"",M7*N7*O7)</f>
        <v>0</v>
      </c>
      <c r="Q7" s="15">
        <f>Assumptions!$C$6</f>
        <v>1.05</v>
      </c>
      <c r="R7" s="22">
        <f>IF(P7="","",P7*Q7)</f>
        <v>0</v>
      </c>
      <c r="S7" s="22">
        <f>IFERROR(INDEX(Hotspots!$H$6:$H$16,MATCH($A7,Hotspots!$A$6:$A$16,0)),"")</f>
        <v>0</v>
      </c>
      <c r="T7" s="22">
        <f>IF(OR(R7="",S7=""),"",MAX(0,R7-S7))</f>
        <v>0</v>
      </c>
      <c r="U7" s="20">
        <f>Assumptions!$C$8</f>
        <v>2</v>
      </c>
      <c r="V7" s="22">
        <f>IF(OR(T7="",U7=0),0,T7/U7)</f>
        <v>0</v>
      </c>
      <c r="W7" s="22">
        <f>Assumptions!$C$9</f>
        <v>300</v>
      </c>
      <c r="X7" s="21">
        <f>IF(OR(V7=0,W7=0),0,ROUNDUP(V7/W7,0))</f>
        <v>0</v>
      </c>
      <c r="Y7" s="22">
        <f>Assumptions!$C$10</f>
        <v>15</v>
      </c>
      <c r="Z7" s="21">
        <f>IF(OR(T7="",T7=0),0,ROUNDUP(T7/Y7,0))</f>
        <v>0</v>
      </c>
    </row>
    <row r="8" spans="1:26" ht="90" x14ac:dyDescent="0.2">
      <c r="A8" s="19" t="s">
        <v>67</v>
      </c>
      <c r="B8" s="19">
        <v>25</v>
      </c>
      <c r="C8" s="12" t="str">
        <f>IFERROR(INDEX(Hotspots!$B$6:$B$16,MATCH($A8,Hotspots!$A$6:$A$16,0)),"")</f>
        <v>EXAMPLE - Underpass at main arterial / low-lying junction</v>
      </c>
      <c r="D8" s="12">
        <f>IFERROR(INDEX(Hotspots!$E$6:$E$16,MATCH($A8,Hotspots!$A$6:$A$16,0)),"")</f>
        <v>20</v>
      </c>
      <c r="E8" s="12">
        <f>IFERROR(INDEX(IDF_Dubai!$B$6:$P$6,MATCH(D8,IDF_Dubai!$B$6:$P$6,1)),"")</f>
        <v>20</v>
      </c>
      <c r="F8" s="15">
        <f>IFERROR(INDEX(IDF_Dubai!$B$7:$P$13,MATCH($B8,IDF_Dubai!$A$7:$A$13,0),MATCH(E8,IDF_Dubai!$B$6:$P$6,1)),"")</f>
        <v>85.92</v>
      </c>
      <c r="G8" s="20">
        <f>IFERROR(INDEX(Hotspots!$C$6:$C$16,MATCH($A8,Hotspots!$A$6:$A$16,0)),"")</f>
        <v>12</v>
      </c>
      <c r="H8" s="15">
        <f>IFERROR(INDEX(Hotspots!$D$6:$D$16,MATCH($A8,Hotspots!$A$6:$A$16,0)),"")</f>
        <v>0.75</v>
      </c>
      <c r="I8" s="15">
        <f>IFERROR(INDEX(Assumptions!$C$15:$C$19,MATCH($B8,Assumptions!$B$15:$B$19,0)),1)</f>
        <v>1.1000000000000001</v>
      </c>
      <c r="J8" s="15">
        <f>IF(OR(H8="",I8=""),"",MIN(H8*I8,1))</f>
        <v>0.82500000000000007</v>
      </c>
      <c r="K8" s="15">
        <f>IF(OR(J8="",F8="",G8=""),"",J8*F8*G8/360)</f>
        <v>2.3628</v>
      </c>
      <c r="L8" s="15">
        <f>IFERROR(INDEX(Hotspots!$G$6:$G$16,MATCH($A8,Hotspots!$A$6:$A$16,0)),"")</f>
        <v>1.8</v>
      </c>
      <c r="M8" s="15">
        <f>IF(OR(K8="",L8=""),"",MAX(0,K8-L8))</f>
        <v>0.56279999999999997</v>
      </c>
      <c r="N8" s="21">
        <f>IF(E8="","",E8*60)</f>
        <v>1200</v>
      </c>
      <c r="O8" s="15">
        <f>Assumptions!$C$7</f>
        <v>0.5</v>
      </c>
      <c r="P8" s="22">
        <f>IF(OR(M8="",N8=""),"",M8*N8*O8)</f>
        <v>337.68</v>
      </c>
      <c r="Q8" s="15">
        <f>Assumptions!$C$6</f>
        <v>1.05</v>
      </c>
      <c r="R8" s="22">
        <f>IF(P8="","",P8*Q8)</f>
        <v>354.56400000000002</v>
      </c>
      <c r="S8" s="22">
        <f>IFERROR(INDEX(Hotspots!$H$6:$H$16,MATCH($A8,Hotspots!$A$6:$A$16,0)),"")</f>
        <v>0</v>
      </c>
      <c r="T8" s="22">
        <f>IF(OR(R8="",S8=""),"",MAX(0,R8-S8))</f>
        <v>354.56400000000002</v>
      </c>
      <c r="U8" s="20">
        <f>Assumptions!$C$8</f>
        <v>2</v>
      </c>
      <c r="V8" s="22">
        <f>IF(OR(T8="",U8=0),0,T8/U8)</f>
        <v>177.28200000000001</v>
      </c>
      <c r="W8" s="22">
        <f>Assumptions!$C$9</f>
        <v>300</v>
      </c>
      <c r="X8" s="21">
        <f>IF(OR(V8=0,W8=0),0,ROUNDUP(V8/W8,0))</f>
        <v>1</v>
      </c>
      <c r="Y8" s="22">
        <f>Assumptions!$C$10</f>
        <v>15</v>
      </c>
      <c r="Z8" s="21">
        <f>IF(OR(T8="",T8=0),0,ROUNDUP(T8/Y8,0))</f>
        <v>24</v>
      </c>
    </row>
    <row r="9" spans="1:26" ht="90" x14ac:dyDescent="0.2">
      <c r="A9" s="19" t="s">
        <v>67</v>
      </c>
      <c r="B9" s="19">
        <v>50</v>
      </c>
      <c r="C9" s="12" t="str">
        <f>IFERROR(INDEX(Hotspots!$B$6:$B$16,MATCH($A9,Hotspots!$A$6:$A$16,0)),"")</f>
        <v>EXAMPLE - Underpass at main arterial / low-lying junction</v>
      </c>
      <c r="D9" s="12">
        <f>IFERROR(INDEX(Hotspots!$E$6:$E$16,MATCH($A9,Hotspots!$A$6:$A$16,0)),"")</f>
        <v>20</v>
      </c>
      <c r="E9" s="12">
        <f>IFERROR(INDEX(IDF_Dubai!$B$6:$P$6,MATCH(D9,IDF_Dubai!$B$6:$P$6,1)),"")</f>
        <v>20</v>
      </c>
      <c r="F9" s="15">
        <f>IFERROR(INDEX(IDF_Dubai!$B$7:$P$13,MATCH($B9,IDF_Dubai!$A$7:$A$13,0),MATCH(E9,IDF_Dubai!$B$6:$P$6,1)),"")</f>
        <v>108.78</v>
      </c>
      <c r="G9" s="20">
        <f>IFERROR(INDEX(Hotspots!$C$6:$C$16,MATCH($A9,Hotspots!$A$6:$A$16,0)),"")</f>
        <v>12</v>
      </c>
      <c r="H9" s="15">
        <f>IFERROR(INDEX(Hotspots!$D$6:$D$16,MATCH($A9,Hotspots!$A$6:$A$16,0)),"")</f>
        <v>0.75</v>
      </c>
      <c r="I9" s="15">
        <f>IFERROR(INDEX(Assumptions!$C$15:$C$19,MATCH($B9,Assumptions!$B$15:$B$19,0)),1)</f>
        <v>1.2</v>
      </c>
      <c r="J9" s="15">
        <f>IF(OR(H9="",I9=""),"",MIN(H9*I9,1))</f>
        <v>0.89999999999999991</v>
      </c>
      <c r="K9" s="15">
        <f>IF(OR(J9="",F9="",G9=""),"",J9*F9*G9/360)</f>
        <v>3.2633999999999994</v>
      </c>
      <c r="L9" s="15">
        <f>IFERROR(INDEX(Hotspots!$G$6:$G$16,MATCH($A9,Hotspots!$A$6:$A$16,0)),"")</f>
        <v>1.8</v>
      </c>
      <c r="M9" s="15">
        <f>IF(OR(K9="",L9=""),"",MAX(0,K9-L9))</f>
        <v>1.4633999999999994</v>
      </c>
      <c r="N9" s="21">
        <f>IF(E9="","",E9*60)</f>
        <v>1200</v>
      </c>
      <c r="O9" s="15">
        <f>Assumptions!$C$7</f>
        <v>0.5</v>
      </c>
      <c r="P9" s="22">
        <f>IF(OR(M9="",N9=""),"",M9*N9*O9)</f>
        <v>878.03999999999962</v>
      </c>
      <c r="Q9" s="15">
        <f>Assumptions!$C$6</f>
        <v>1.05</v>
      </c>
      <c r="R9" s="22">
        <f>IF(P9="","",P9*Q9)</f>
        <v>921.94199999999967</v>
      </c>
      <c r="S9" s="22">
        <f>IFERROR(INDEX(Hotspots!$H$6:$H$16,MATCH($A9,Hotspots!$A$6:$A$16,0)),"")</f>
        <v>0</v>
      </c>
      <c r="T9" s="22">
        <f>IF(OR(R9="",S9=""),"",MAX(0,R9-S9))</f>
        <v>921.94199999999967</v>
      </c>
      <c r="U9" s="20">
        <f>Assumptions!$C$8</f>
        <v>2</v>
      </c>
      <c r="V9" s="22">
        <f>IF(OR(T9="",U9=0),0,T9/U9)</f>
        <v>460.97099999999983</v>
      </c>
      <c r="W9" s="22">
        <f>Assumptions!$C$9</f>
        <v>300</v>
      </c>
      <c r="X9" s="21">
        <f>IF(OR(V9=0,W9=0),0,ROUNDUP(V9/W9,0))</f>
        <v>2</v>
      </c>
      <c r="Y9" s="22">
        <f>Assumptions!$C$10</f>
        <v>15</v>
      </c>
      <c r="Z9" s="21">
        <f>IF(OR(T9="",T9=0),0,ROUNDUP(T9/Y9,0))</f>
        <v>62</v>
      </c>
    </row>
    <row r="10" spans="1:26" ht="90" x14ac:dyDescent="0.2">
      <c r="A10" s="19" t="s">
        <v>67</v>
      </c>
      <c r="B10" s="19">
        <v>100</v>
      </c>
      <c r="C10" s="12" t="str">
        <f>IFERROR(INDEX(Hotspots!$B$6:$B$16,MATCH($A10,Hotspots!$A$6:$A$16,0)),"")</f>
        <v>EXAMPLE - Underpass at main arterial / low-lying junction</v>
      </c>
      <c r="D10" s="12">
        <f>IFERROR(INDEX(Hotspots!$E$6:$E$16,MATCH($A10,Hotspots!$A$6:$A$16,0)),"")</f>
        <v>20</v>
      </c>
      <c r="E10" s="12">
        <f>IFERROR(INDEX(IDF_Dubai!$B$6:$P$6,MATCH(D10,IDF_Dubai!$B$6:$P$6,1)),"")</f>
        <v>20</v>
      </c>
      <c r="F10" s="15">
        <f>IFERROR(INDEX(IDF_Dubai!$B$7:$P$13,MATCH($B10,IDF_Dubai!$A$7:$A$13,0),MATCH(E10,IDF_Dubai!$B$6:$P$6,1)),"")</f>
        <v>134.49</v>
      </c>
      <c r="G10" s="20">
        <f>IFERROR(INDEX(Hotspots!$C$6:$C$16,MATCH($A10,Hotspots!$A$6:$A$16,0)),"")</f>
        <v>12</v>
      </c>
      <c r="H10" s="15">
        <f>IFERROR(INDEX(Hotspots!$D$6:$D$16,MATCH($A10,Hotspots!$A$6:$A$16,0)),"")</f>
        <v>0.75</v>
      </c>
      <c r="I10" s="15">
        <f>IFERROR(INDEX(Assumptions!$C$15:$C$19,MATCH($B10,Assumptions!$B$15:$B$19,0)),1)</f>
        <v>1.25</v>
      </c>
      <c r="J10" s="15">
        <f>IF(OR(H10="",I10=""),"",MIN(H10*I10,1))</f>
        <v>0.9375</v>
      </c>
      <c r="K10" s="15">
        <f>IF(OR(J10="",F10="",G10=""),"",J10*F10*G10/360)</f>
        <v>4.2028125000000003</v>
      </c>
      <c r="L10" s="15">
        <f>IFERROR(INDEX(Hotspots!$G$6:$G$16,MATCH($A10,Hotspots!$A$6:$A$16,0)),"")</f>
        <v>1.8</v>
      </c>
      <c r="M10" s="15">
        <f>IF(OR(K10="",L10=""),"",MAX(0,K10-L10))</f>
        <v>2.4028125000000005</v>
      </c>
      <c r="N10" s="21">
        <f>IF(E10="","",E10*60)</f>
        <v>1200</v>
      </c>
      <c r="O10" s="15">
        <f>Assumptions!$C$7</f>
        <v>0.5</v>
      </c>
      <c r="P10" s="22">
        <f>IF(OR(M10="",N10=""),"",M10*N10*O10)</f>
        <v>1441.6875000000002</v>
      </c>
      <c r="Q10" s="15">
        <f>Assumptions!$C$6</f>
        <v>1.05</v>
      </c>
      <c r="R10" s="22">
        <f>IF(P10="","",P10*Q10)</f>
        <v>1513.7718750000004</v>
      </c>
      <c r="S10" s="22">
        <f>IFERROR(INDEX(Hotspots!$H$6:$H$16,MATCH($A10,Hotspots!$A$6:$A$16,0)),"")</f>
        <v>0</v>
      </c>
      <c r="T10" s="22">
        <f>IF(OR(R10="",S10=""),"",MAX(0,R10-S10))</f>
        <v>1513.7718750000004</v>
      </c>
      <c r="U10" s="20">
        <f>Assumptions!$C$8</f>
        <v>2</v>
      </c>
      <c r="V10" s="22">
        <f>IF(OR(T10="",U10=0),0,T10/U10)</f>
        <v>756.88593750000018</v>
      </c>
      <c r="W10" s="22">
        <f>Assumptions!$C$9</f>
        <v>300</v>
      </c>
      <c r="X10" s="21">
        <f>IF(OR(V10=0,W10=0),0,ROUNDUP(V10/W10,0))</f>
        <v>3</v>
      </c>
      <c r="Y10" s="22">
        <f>Assumptions!$C$10</f>
        <v>15</v>
      </c>
      <c r="Z10" s="21">
        <f>IF(OR(T10="",T10=0),0,ROUNDUP(T10/Y10,0))</f>
        <v>101</v>
      </c>
    </row>
    <row r="11" spans="1:26" ht="77.25" x14ac:dyDescent="0.2">
      <c r="A11" s="19" t="s">
        <v>69</v>
      </c>
      <c r="B11" s="19">
        <v>5</v>
      </c>
      <c r="C11" s="12" t="str">
        <f>IFERROR(INDEX(Hotspots!$B$6:$B$16,MATCH($A11,Hotspots!$A$6:$A$16,0)),"")</f>
        <v>EXAMPLE - Residential low point, far from outfall</v>
      </c>
      <c r="D11" s="12">
        <f>IFERROR(INDEX(Hotspots!$E$6:$E$16,MATCH($A11,Hotspots!$A$6:$A$16,0)),"")</f>
        <v>45</v>
      </c>
      <c r="E11" s="12">
        <f>IFERROR(INDEX(IDF_Dubai!$B$6:$P$6,MATCH(D11,IDF_Dubai!$B$6:$P$6,1)),"")</f>
        <v>45</v>
      </c>
      <c r="F11" s="15">
        <f>IFERROR(INDEX(IDF_Dubai!$B$7:$P$13,MATCH($B11,IDF_Dubai!$A$7:$A$13,0),MATCH(E11,IDF_Dubai!$B$6:$P$6,1)),"")</f>
        <v>31.78</v>
      </c>
      <c r="G11" s="20">
        <f>IFERROR(INDEX(Hotspots!$C$6:$C$16,MATCH($A11,Hotspots!$A$6:$A$16,0)),"")</f>
        <v>35</v>
      </c>
      <c r="H11" s="15">
        <f>IFERROR(INDEX(Hotspots!$D$6:$D$16,MATCH($A11,Hotspots!$A$6:$A$16,0)),"")</f>
        <v>0.45</v>
      </c>
      <c r="I11" s="15">
        <f>IFERROR(INDEX(Assumptions!$C$15:$C$19,MATCH($B11,Assumptions!$B$15:$B$19,0)),1)</f>
        <v>1</v>
      </c>
      <c r="J11" s="15">
        <f>IF(OR(H11="",I11=""),"",MIN(H11*I11,1))</f>
        <v>0.45</v>
      </c>
      <c r="K11" s="15">
        <f>IF(OR(J11="",F11="",G11=""),"",J11*F11*G11/360)</f>
        <v>1.3903750000000001</v>
      </c>
      <c r="L11" s="15">
        <f>IFERROR(INDEX(Hotspots!$G$6:$G$16,MATCH($A11,Hotspots!$A$6:$A$16,0)),"")</f>
        <v>2.6</v>
      </c>
      <c r="M11" s="15">
        <f>IF(OR(K11="",L11=""),"",MAX(0,K11-L11))</f>
        <v>0</v>
      </c>
      <c r="N11" s="21">
        <f>IF(E11="","",E11*60)</f>
        <v>2700</v>
      </c>
      <c r="O11" s="15">
        <f>Assumptions!$C$7</f>
        <v>0.5</v>
      </c>
      <c r="P11" s="22">
        <f>IF(OR(M11="",N11=""),"",M11*N11*O11)</f>
        <v>0</v>
      </c>
      <c r="Q11" s="15">
        <f>Assumptions!$C$6</f>
        <v>1.05</v>
      </c>
      <c r="R11" s="22">
        <f>IF(P11="","",P11*Q11)</f>
        <v>0</v>
      </c>
      <c r="S11" s="22">
        <f>IFERROR(INDEX(Hotspots!$H$6:$H$16,MATCH($A11,Hotspots!$A$6:$A$16,0)),"")</f>
        <v>4500</v>
      </c>
      <c r="T11" s="22">
        <f>IF(OR(R11="",S11=""),"",MAX(0,R11-S11))</f>
        <v>0</v>
      </c>
      <c r="U11" s="20">
        <f>Assumptions!$C$8</f>
        <v>2</v>
      </c>
      <c r="V11" s="22">
        <f>IF(OR(T11="",U11=0),0,T11/U11)</f>
        <v>0</v>
      </c>
      <c r="W11" s="22">
        <f>Assumptions!$C$9</f>
        <v>300</v>
      </c>
      <c r="X11" s="21">
        <f>IF(OR(V11=0,W11=0),0,ROUNDUP(V11/W11,0))</f>
        <v>0</v>
      </c>
      <c r="Y11" s="22">
        <f>Assumptions!$C$10</f>
        <v>15</v>
      </c>
      <c r="Z11" s="21">
        <f>IF(OR(T11="",T11=0),0,ROUNDUP(T11/Y11,0))</f>
        <v>0</v>
      </c>
    </row>
    <row r="12" spans="1:26" ht="77.25" x14ac:dyDescent="0.2">
      <c r="A12" s="19" t="s">
        <v>69</v>
      </c>
      <c r="B12" s="19">
        <v>10</v>
      </c>
      <c r="C12" s="12" t="str">
        <f>IFERROR(INDEX(Hotspots!$B$6:$B$16,MATCH($A12,Hotspots!$A$6:$A$16,0)),"")</f>
        <v>EXAMPLE - Residential low point, far from outfall</v>
      </c>
      <c r="D12" s="12">
        <f>IFERROR(INDEX(Hotspots!$E$6:$E$16,MATCH($A12,Hotspots!$A$6:$A$16,0)),"")</f>
        <v>45</v>
      </c>
      <c r="E12" s="12">
        <f>IFERROR(INDEX(IDF_Dubai!$B$6:$P$6,MATCH(D12,IDF_Dubai!$B$6:$P$6,1)),"")</f>
        <v>45</v>
      </c>
      <c r="F12" s="15">
        <f>IFERROR(INDEX(IDF_Dubai!$B$7:$P$13,MATCH($B12,IDF_Dubai!$A$7:$A$13,0),MATCH(E12,IDF_Dubai!$B$6:$P$6,1)),"")</f>
        <v>42.82</v>
      </c>
      <c r="G12" s="20">
        <f>IFERROR(INDEX(Hotspots!$C$6:$C$16,MATCH($A12,Hotspots!$A$6:$A$16,0)),"")</f>
        <v>35</v>
      </c>
      <c r="H12" s="15">
        <f>IFERROR(INDEX(Hotspots!$D$6:$D$16,MATCH($A12,Hotspots!$A$6:$A$16,0)),"")</f>
        <v>0.45</v>
      </c>
      <c r="I12" s="15">
        <f>IFERROR(INDEX(Assumptions!$C$15:$C$19,MATCH($B12,Assumptions!$B$15:$B$19,0)),1)</f>
        <v>1</v>
      </c>
      <c r="J12" s="15">
        <f>IF(OR(H12="",I12=""),"",MIN(H12*I12,1))</f>
        <v>0.45</v>
      </c>
      <c r="K12" s="15">
        <f>IF(OR(J12="",F12="",G12=""),"",J12*F12*G12/360)</f>
        <v>1.8733750000000002</v>
      </c>
      <c r="L12" s="15">
        <f>IFERROR(INDEX(Hotspots!$G$6:$G$16,MATCH($A12,Hotspots!$A$6:$A$16,0)),"")</f>
        <v>2.6</v>
      </c>
      <c r="M12" s="15">
        <f>IF(OR(K12="",L12=""),"",MAX(0,K12-L12))</f>
        <v>0</v>
      </c>
      <c r="N12" s="21">
        <f>IF(E12="","",E12*60)</f>
        <v>2700</v>
      </c>
      <c r="O12" s="15">
        <f>Assumptions!$C$7</f>
        <v>0.5</v>
      </c>
      <c r="P12" s="22">
        <f>IF(OR(M12="",N12=""),"",M12*N12*O12)</f>
        <v>0</v>
      </c>
      <c r="Q12" s="15">
        <f>Assumptions!$C$6</f>
        <v>1.05</v>
      </c>
      <c r="R12" s="22">
        <f>IF(P12="","",P12*Q12)</f>
        <v>0</v>
      </c>
      <c r="S12" s="22">
        <f>IFERROR(INDEX(Hotspots!$H$6:$H$16,MATCH($A12,Hotspots!$A$6:$A$16,0)),"")</f>
        <v>4500</v>
      </c>
      <c r="T12" s="22">
        <f>IF(OR(R12="",S12=""),"",MAX(0,R12-S12))</f>
        <v>0</v>
      </c>
      <c r="U12" s="20">
        <f>Assumptions!$C$8</f>
        <v>2</v>
      </c>
      <c r="V12" s="22">
        <f>IF(OR(T12="",U12=0),0,T12/U12)</f>
        <v>0</v>
      </c>
      <c r="W12" s="22">
        <f>Assumptions!$C$9</f>
        <v>300</v>
      </c>
      <c r="X12" s="21">
        <f>IF(OR(V12=0,W12=0),0,ROUNDUP(V12/W12,0))</f>
        <v>0</v>
      </c>
      <c r="Y12" s="22">
        <f>Assumptions!$C$10</f>
        <v>15</v>
      </c>
      <c r="Z12" s="21">
        <f>IF(OR(T12="",T12=0),0,ROUNDUP(T12/Y12,0))</f>
        <v>0</v>
      </c>
    </row>
    <row r="13" spans="1:26" ht="77.25" x14ac:dyDescent="0.2">
      <c r="A13" s="19" t="s">
        <v>69</v>
      </c>
      <c r="B13" s="19">
        <v>25</v>
      </c>
      <c r="C13" s="12" t="str">
        <f>IFERROR(INDEX(Hotspots!$B$6:$B$16,MATCH($A13,Hotspots!$A$6:$A$16,0)),"")</f>
        <v>EXAMPLE - Residential low point, far from outfall</v>
      </c>
      <c r="D13" s="12">
        <f>IFERROR(INDEX(Hotspots!$E$6:$E$16,MATCH($A13,Hotspots!$A$6:$A$16,0)),"")</f>
        <v>45</v>
      </c>
      <c r="E13" s="12">
        <f>IFERROR(INDEX(IDF_Dubai!$B$6:$P$6,MATCH(D13,IDF_Dubai!$B$6:$P$6,1)),"")</f>
        <v>45</v>
      </c>
      <c r="F13" s="15">
        <f>IFERROR(INDEX(IDF_Dubai!$B$7:$P$13,MATCH($B13,IDF_Dubai!$A$7:$A$13,0),MATCH(E13,IDF_Dubai!$B$6:$P$6,1)),"")</f>
        <v>58.03</v>
      </c>
      <c r="G13" s="20">
        <f>IFERROR(INDEX(Hotspots!$C$6:$C$16,MATCH($A13,Hotspots!$A$6:$A$16,0)),"")</f>
        <v>35</v>
      </c>
      <c r="H13" s="15">
        <f>IFERROR(INDEX(Hotspots!$D$6:$D$16,MATCH($A13,Hotspots!$A$6:$A$16,0)),"")</f>
        <v>0.45</v>
      </c>
      <c r="I13" s="15">
        <f>IFERROR(INDEX(Assumptions!$C$15:$C$19,MATCH($B13,Assumptions!$B$15:$B$19,0)),1)</f>
        <v>1.1000000000000001</v>
      </c>
      <c r="J13" s="15">
        <f>IF(OR(H13="",I13=""),"",MIN(H13*I13,1))</f>
        <v>0.49500000000000005</v>
      </c>
      <c r="K13" s="15">
        <f>IF(OR(J13="",F13="",G13=""),"",J13*F13*G13/360)</f>
        <v>2.7926937500000002</v>
      </c>
      <c r="L13" s="15">
        <f>IFERROR(INDEX(Hotspots!$G$6:$G$16,MATCH($A13,Hotspots!$A$6:$A$16,0)),"")</f>
        <v>2.6</v>
      </c>
      <c r="M13" s="15">
        <f>IF(OR(K13="",L13=""),"",MAX(0,K13-L13))</f>
        <v>0.19269375000000011</v>
      </c>
      <c r="N13" s="21">
        <f>IF(E13="","",E13*60)</f>
        <v>2700</v>
      </c>
      <c r="O13" s="15">
        <f>Assumptions!$C$7</f>
        <v>0.5</v>
      </c>
      <c r="P13" s="22">
        <f>IF(OR(M13="",N13=""),"",M13*N13*O13)</f>
        <v>260.13656250000014</v>
      </c>
      <c r="Q13" s="15">
        <f>Assumptions!$C$6</f>
        <v>1.05</v>
      </c>
      <c r="R13" s="22">
        <f>IF(P13="","",P13*Q13)</f>
        <v>273.14339062500017</v>
      </c>
      <c r="S13" s="22">
        <f>IFERROR(INDEX(Hotspots!$H$6:$H$16,MATCH($A13,Hotspots!$A$6:$A$16,0)),"")</f>
        <v>4500</v>
      </c>
      <c r="T13" s="22">
        <f>IF(OR(R13="",S13=""),"",MAX(0,R13-S13))</f>
        <v>0</v>
      </c>
      <c r="U13" s="20">
        <f>Assumptions!$C$8</f>
        <v>2</v>
      </c>
      <c r="V13" s="22">
        <f>IF(OR(T13="",U13=0),0,T13/U13)</f>
        <v>0</v>
      </c>
      <c r="W13" s="22">
        <f>Assumptions!$C$9</f>
        <v>300</v>
      </c>
      <c r="X13" s="21">
        <f>IF(OR(V13=0,W13=0),0,ROUNDUP(V13/W13,0))</f>
        <v>0</v>
      </c>
      <c r="Y13" s="22">
        <f>Assumptions!$C$10</f>
        <v>15</v>
      </c>
      <c r="Z13" s="21">
        <f>IF(OR(T13="",T13=0),0,ROUNDUP(T13/Y13,0))</f>
        <v>0</v>
      </c>
    </row>
    <row r="14" spans="1:26" ht="77.25" x14ac:dyDescent="0.2">
      <c r="A14" s="19" t="s">
        <v>69</v>
      </c>
      <c r="B14" s="19">
        <v>50</v>
      </c>
      <c r="C14" s="12" t="str">
        <f>IFERROR(INDEX(Hotspots!$B$6:$B$16,MATCH($A14,Hotspots!$A$6:$A$16,0)),"")</f>
        <v>EXAMPLE - Residential low point, far from outfall</v>
      </c>
      <c r="D14" s="12">
        <f>IFERROR(INDEX(Hotspots!$E$6:$E$16,MATCH($A14,Hotspots!$A$6:$A$16,0)),"")</f>
        <v>45</v>
      </c>
      <c r="E14" s="12">
        <f>IFERROR(INDEX(IDF_Dubai!$B$6:$P$6,MATCH(D14,IDF_Dubai!$B$6:$P$6,1)),"")</f>
        <v>45</v>
      </c>
      <c r="F14" s="15">
        <f>IFERROR(INDEX(IDF_Dubai!$B$7:$P$13,MATCH($B14,IDF_Dubai!$A$7:$A$13,0),MATCH(E14,IDF_Dubai!$B$6:$P$6,1)),"")</f>
        <v>73.47</v>
      </c>
      <c r="G14" s="20">
        <f>IFERROR(INDEX(Hotspots!$C$6:$C$16,MATCH($A14,Hotspots!$A$6:$A$16,0)),"")</f>
        <v>35</v>
      </c>
      <c r="H14" s="15">
        <f>IFERROR(INDEX(Hotspots!$D$6:$D$16,MATCH($A14,Hotspots!$A$6:$A$16,0)),"")</f>
        <v>0.45</v>
      </c>
      <c r="I14" s="15">
        <f>IFERROR(INDEX(Assumptions!$C$15:$C$19,MATCH($B14,Assumptions!$B$15:$B$19,0)),1)</f>
        <v>1.2</v>
      </c>
      <c r="J14" s="15">
        <f>IF(OR(H14="",I14=""),"",MIN(H14*I14,1))</f>
        <v>0.54</v>
      </c>
      <c r="K14" s="15">
        <f>IF(OR(J14="",F14="",G14=""),"",J14*F14*G14/360)</f>
        <v>3.8571750000000002</v>
      </c>
      <c r="L14" s="15">
        <f>IFERROR(INDEX(Hotspots!$G$6:$G$16,MATCH($A14,Hotspots!$A$6:$A$16,0)),"")</f>
        <v>2.6</v>
      </c>
      <c r="M14" s="15">
        <f>IF(OR(K14="",L14=""),"",MAX(0,K14-L14))</f>
        <v>1.2571750000000002</v>
      </c>
      <c r="N14" s="21">
        <f>IF(E14="","",E14*60)</f>
        <v>2700</v>
      </c>
      <c r="O14" s="15">
        <f>Assumptions!$C$7</f>
        <v>0.5</v>
      </c>
      <c r="P14" s="22">
        <f>IF(OR(M14="",N14=""),"",M14*N14*O14)</f>
        <v>1697.1862500000002</v>
      </c>
      <c r="Q14" s="15">
        <f>Assumptions!$C$6</f>
        <v>1.05</v>
      </c>
      <c r="R14" s="22">
        <f>IF(P14="","",P14*Q14)</f>
        <v>1782.0455625000002</v>
      </c>
      <c r="S14" s="22">
        <f>IFERROR(INDEX(Hotspots!$H$6:$H$16,MATCH($A14,Hotspots!$A$6:$A$16,0)),"")</f>
        <v>4500</v>
      </c>
      <c r="T14" s="22">
        <f>IF(OR(R14="",S14=""),"",MAX(0,R14-S14))</f>
        <v>0</v>
      </c>
      <c r="U14" s="20">
        <f>Assumptions!$C$8</f>
        <v>2</v>
      </c>
      <c r="V14" s="22">
        <f>IF(OR(T14="",U14=0),0,T14/U14)</f>
        <v>0</v>
      </c>
      <c r="W14" s="22">
        <f>Assumptions!$C$9</f>
        <v>300</v>
      </c>
      <c r="X14" s="21">
        <f>IF(OR(V14=0,W14=0),0,ROUNDUP(V14/W14,0))</f>
        <v>0</v>
      </c>
      <c r="Y14" s="22">
        <f>Assumptions!$C$10</f>
        <v>15</v>
      </c>
      <c r="Z14" s="21">
        <f>IF(OR(T14="",T14=0),0,ROUNDUP(T14/Y14,0))</f>
        <v>0</v>
      </c>
    </row>
    <row r="15" spans="1:26" ht="77.25" x14ac:dyDescent="0.2">
      <c r="A15" s="19" t="s">
        <v>69</v>
      </c>
      <c r="B15" s="19">
        <v>100</v>
      </c>
      <c r="C15" s="12" t="str">
        <f>IFERROR(INDEX(Hotspots!$B$6:$B$16,MATCH($A15,Hotspots!$A$6:$A$16,0)),"")</f>
        <v>EXAMPLE - Residential low point, far from outfall</v>
      </c>
      <c r="D15" s="12">
        <f>IFERROR(INDEX(Hotspots!$E$6:$E$16,MATCH($A15,Hotspots!$A$6:$A$16,0)),"")</f>
        <v>45</v>
      </c>
      <c r="E15" s="12">
        <f>IFERROR(INDEX(IDF_Dubai!$B$6:$P$6,MATCH(D15,IDF_Dubai!$B$6:$P$6,1)),"")</f>
        <v>45</v>
      </c>
      <c r="F15" s="15">
        <f>IFERROR(INDEX(IDF_Dubai!$B$7:$P$13,MATCH($B15,IDF_Dubai!$A$7:$A$13,0),MATCH(E15,IDF_Dubai!$B$6:$P$6,1)),"")</f>
        <v>90.83</v>
      </c>
      <c r="G15" s="20">
        <f>IFERROR(INDEX(Hotspots!$C$6:$C$16,MATCH($A15,Hotspots!$A$6:$A$16,0)),"")</f>
        <v>35</v>
      </c>
      <c r="H15" s="15">
        <f>IFERROR(INDEX(Hotspots!$D$6:$D$16,MATCH($A15,Hotspots!$A$6:$A$16,0)),"")</f>
        <v>0.45</v>
      </c>
      <c r="I15" s="15">
        <f>IFERROR(INDEX(Assumptions!$C$15:$C$19,MATCH($B15,Assumptions!$B$15:$B$19,0)),1)</f>
        <v>1.25</v>
      </c>
      <c r="J15" s="15">
        <f>IF(OR(H15="",I15=""),"",MIN(H15*I15,1))</f>
        <v>0.5625</v>
      </c>
      <c r="K15" s="15">
        <f>IF(OR(J15="",F15="",G15=""),"",J15*F15*G15/360)</f>
        <v>4.9672656250000005</v>
      </c>
      <c r="L15" s="15">
        <f>IFERROR(INDEX(Hotspots!$G$6:$G$16,MATCH($A15,Hotspots!$A$6:$A$16,0)),"")</f>
        <v>2.6</v>
      </c>
      <c r="M15" s="15">
        <f>IF(OR(K15="",L15=""),"",MAX(0,K15-L15))</f>
        <v>2.3672656250000004</v>
      </c>
      <c r="N15" s="21">
        <f>IF(E15="","",E15*60)</f>
        <v>2700</v>
      </c>
      <c r="O15" s="15">
        <f>Assumptions!$C$7</f>
        <v>0.5</v>
      </c>
      <c r="P15" s="22">
        <f>IF(OR(M15="",N15=""),"",M15*N15*O15)</f>
        <v>3195.8085937500005</v>
      </c>
      <c r="Q15" s="15">
        <f>Assumptions!$C$6</f>
        <v>1.05</v>
      </c>
      <c r="R15" s="22">
        <f>IF(P15="","",P15*Q15)</f>
        <v>3355.5990234375008</v>
      </c>
      <c r="S15" s="22">
        <f>IFERROR(INDEX(Hotspots!$H$6:$H$16,MATCH($A15,Hotspots!$A$6:$A$16,0)),"")</f>
        <v>4500</v>
      </c>
      <c r="T15" s="22">
        <f>IF(OR(R15="",S15=""),"",MAX(0,R15-S15))</f>
        <v>0</v>
      </c>
      <c r="U15" s="20">
        <f>Assumptions!$C$8</f>
        <v>2</v>
      </c>
      <c r="V15" s="22">
        <f>IF(OR(T15="",U15=0),0,T15/U15)</f>
        <v>0</v>
      </c>
      <c r="W15" s="22">
        <f>Assumptions!$C$9</f>
        <v>300</v>
      </c>
      <c r="X15" s="21">
        <f>IF(OR(V15=0,W15=0),0,ROUNDUP(V15/W15,0))</f>
        <v>0</v>
      </c>
      <c r="Y15" s="22">
        <f>Assumptions!$C$10</f>
        <v>15</v>
      </c>
      <c r="Z15" s="21">
        <f>IF(OR(T15="",T15=0),0,ROUNDUP(T15/Y15,0))</f>
        <v>0</v>
      </c>
    </row>
    <row r="16" spans="1:26" ht="90" x14ac:dyDescent="0.2">
      <c r="A16" s="19" t="s">
        <v>71</v>
      </c>
      <c r="B16" s="19">
        <v>5</v>
      </c>
      <c r="C16" s="12" t="str">
        <f>IFERROR(INDEX(Hotspots!$B$6:$B$16,MATCH($A16,Hotspots!$A$6:$A$16,0)),"")</f>
        <v>EXAMPLE - Commercial/downtown catchment near coastline</v>
      </c>
      <c r="D16" s="12">
        <f>IFERROR(INDEX(Hotspots!$E$6:$E$16,MATCH($A16,Hotspots!$A$6:$A$16,0)),"")</f>
        <v>25</v>
      </c>
      <c r="E16" s="12">
        <f>IFERROR(INDEX(IDF_Dubai!$B$6:$P$6,MATCH(D16,IDF_Dubai!$B$6:$P$6,1)),"")</f>
        <v>20</v>
      </c>
      <c r="F16" s="15">
        <f>IFERROR(INDEX(IDF_Dubai!$B$7:$P$13,MATCH($B16,IDF_Dubai!$A$7:$A$13,0),MATCH(E16,IDF_Dubai!$B$6:$P$6,1)),"")</f>
        <v>53.54</v>
      </c>
      <c r="G16" s="20">
        <f>IFERROR(INDEX(Hotspots!$C$6:$C$16,MATCH($A16,Hotspots!$A$6:$A$16,0)),"")</f>
        <v>22</v>
      </c>
      <c r="H16" s="15">
        <f>IFERROR(INDEX(Hotspots!$D$6:$D$16,MATCH($A16,Hotspots!$A$6:$A$16,0)),"")</f>
        <v>0.85</v>
      </c>
      <c r="I16" s="15">
        <f>IFERROR(INDEX(Assumptions!$C$15:$C$19,MATCH($B16,Assumptions!$B$15:$B$19,0)),1)</f>
        <v>1</v>
      </c>
      <c r="J16" s="15">
        <f>IF(OR(H16="",I16=""),"",MIN(H16*I16,1))</f>
        <v>0.85</v>
      </c>
      <c r="K16" s="15">
        <f>IF(OR(J16="",F16="",G16=""),"",J16*F16*G16/360)</f>
        <v>2.7811055555555555</v>
      </c>
      <c r="L16" s="15">
        <f>IFERROR(INDEX(Hotspots!$G$6:$G$16,MATCH($A16,Hotspots!$A$6:$A$16,0)),"")</f>
        <v>3.1</v>
      </c>
      <c r="M16" s="15">
        <f>IF(OR(K16="",L16=""),"",MAX(0,K16-L16))</f>
        <v>0</v>
      </c>
      <c r="N16" s="21">
        <f>IF(E16="","",E16*60)</f>
        <v>1200</v>
      </c>
      <c r="O16" s="15">
        <f>Assumptions!$C$7</f>
        <v>0.5</v>
      </c>
      <c r="P16" s="22">
        <f>IF(OR(M16="",N16=""),"",M16*N16*O16)</f>
        <v>0</v>
      </c>
      <c r="Q16" s="15">
        <f>Assumptions!$C$6</f>
        <v>1.05</v>
      </c>
      <c r="R16" s="22">
        <f>IF(P16="","",P16*Q16)</f>
        <v>0</v>
      </c>
      <c r="S16" s="22">
        <f>IFERROR(INDEX(Hotspots!$H$6:$H$16,MATCH($A16,Hotspots!$A$6:$A$16,0)),"")</f>
        <v>8000</v>
      </c>
      <c r="T16" s="22">
        <f>IF(OR(R16="",S16=""),"",MAX(0,R16-S16))</f>
        <v>0</v>
      </c>
      <c r="U16" s="20">
        <f>Assumptions!$C$8</f>
        <v>2</v>
      </c>
      <c r="V16" s="22">
        <f>IF(OR(T16="",U16=0),0,T16/U16)</f>
        <v>0</v>
      </c>
      <c r="W16" s="22">
        <f>Assumptions!$C$9</f>
        <v>300</v>
      </c>
      <c r="X16" s="21">
        <f>IF(OR(V16=0,W16=0),0,ROUNDUP(V16/W16,0))</f>
        <v>0</v>
      </c>
      <c r="Y16" s="22">
        <f>Assumptions!$C$10</f>
        <v>15</v>
      </c>
      <c r="Z16" s="21">
        <f>IF(OR(T16="",T16=0),0,ROUNDUP(T16/Y16,0))</f>
        <v>0</v>
      </c>
    </row>
    <row r="17" spans="1:26" ht="90" x14ac:dyDescent="0.2">
      <c r="A17" s="19" t="s">
        <v>71</v>
      </c>
      <c r="B17" s="19">
        <v>10</v>
      </c>
      <c r="C17" s="12" t="str">
        <f>IFERROR(INDEX(Hotspots!$B$6:$B$16,MATCH($A17,Hotspots!$A$6:$A$16,0)),"")</f>
        <v>EXAMPLE - Commercial/downtown catchment near coastline</v>
      </c>
      <c r="D17" s="12">
        <f>IFERROR(INDEX(Hotspots!$E$6:$E$16,MATCH($A17,Hotspots!$A$6:$A$16,0)),"")</f>
        <v>25</v>
      </c>
      <c r="E17" s="12">
        <f>IFERROR(INDEX(IDF_Dubai!$B$6:$P$6,MATCH(D17,IDF_Dubai!$B$6:$P$6,1)),"")</f>
        <v>20</v>
      </c>
      <c r="F17" s="15">
        <f>IFERROR(INDEX(IDF_Dubai!$B$7:$P$13,MATCH($B17,IDF_Dubai!$A$7:$A$13,0),MATCH(E17,IDF_Dubai!$B$6:$P$6,1)),"")</f>
        <v>68.58</v>
      </c>
      <c r="G17" s="20">
        <f>IFERROR(INDEX(Hotspots!$C$6:$C$16,MATCH($A17,Hotspots!$A$6:$A$16,0)),"")</f>
        <v>22</v>
      </c>
      <c r="H17" s="15">
        <f>IFERROR(INDEX(Hotspots!$D$6:$D$16,MATCH($A17,Hotspots!$A$6:$A$16,0)),"")</f>
        <v>0.85</v>
      </c>
      <c r="I17" s="15">
        <f>IFERROR(INDEX(Assumptions!$C$15:$C$19,MATCH($B17,Assumptions!$B$15:$B$19,0)),1)</f>
        <v>1</v>
      </c>
      <c r="J17" s="15">
        <f>IF(OR(H17="",I17=""),"",MIN(H17*I17,1))</f>
        <v>0.85</v>
      </c>
      <c r="K17" s="15">
        <f>IF(OR(J17="",F17="",G17=""),"",J17*F17*G17/360)</f>
        <v>3.5623499999999999</v>
      </c>
      <c r="L17" s="15">
        <f>IFERROR(INDEX(Hotspots!$G$6:$G$16,MATCH($A17,Hotspots!$A$6:$A$16,0)),"")</f>
        <v>3.1</v>
      </c>
      <c r="M17" s="15">
        <f>IF(OR(K17="",L17=""),"",MAX(0,K17-L17))</f>
        <v>0.46234999999999982</v>
      </c>
      <c r="N17" s="21">
        <f>IF(E17="","",E17*60)</f>
        <v>1200</v>
      </c>
      <c r="O17" s="15">
        <f>Assumptions!$C$7</f>
        <v>0.5</v>
      </c>
      <c r="P17" s="22">
        <f>IF(OR(M17="",N17=""),"",M17*N17*O17)</f>
        <v>277.40999999999991</v>
      </c>
      <c r="Q17" s="15">
        <f>Assumptions!$C$6</f>
        <v>1.05</v>
      </c>
      <c r="R17" s="22">
        <f>IF(P17="","",P17*Q17)</f>
        <v>291.2804999999999</v>
      </c>
      <c r="S17" s="22">
        <f>IFERROR(INDEX(Hotspots!$H$6:$H$16,MATCH($A17,Hotspots!$A$6:$A$16,0)),"")</f>
        <v>8000</v>
      </c>
      <c r="T17" s="22">
        <f>IF(OR(R17="",S17=""),"",MAX(0,R17-S17))</f>
        <v>0</v>
      </c>
      <c r="U17" s="20">
        <f>Assumptions!$C$8</f>
        <v>2</v>
      </c>
      <c r="V17" s="22">
        <f>IF(OR(T17="",U17=0),0,T17/U17)</f>
        <v>0</v>
      </c>
      <c r="W17" s="22">
        <f>Assumptions!$C$9</f>
        <v>300</v>
      </c>
      <c r="X17" s="21">
        <f>IF(OR(V17=0,W17=0),0,ROUNDUP(V17/W17,0))</f>
        <v>0</v>
      </c>
      <c r="Y17" s="22">
        <f>Assumptions!$C$10</f>
        <v>15</v>
      </c>
      <c r="Z17" s="21">
        <f>IF(OR(T17="",T17=0),0,ROUNDUP(T17/Y17,0))</f>
        <v>0</v>
      </c>
    </row>
    <row r="18" spans="1:26" ht="90" x14ac:dyDescent="0.2">
      <c r="A18" s="19" t="s">
        <v>71</v>
      </c>
      <c r="B18" s="19">
        <v>25</v>
      </c>
      <c r="C18" s="12" t="str">
        <f>IFERROR(INDEX(Hotspots!$B$6:$B$16,MATCH($A18,Hotspots!$A$6:$A$16,0)),"")</f>
        <v>EXAMPLE - Commercial/downtown catchment near coastline</v>
      </c>
      <c r="D18" s="12">
        <f>IFERROR(INDEX(Hotspots!$E$6:$E$16,MATCH($A18,Hotspots!$A$6:$A$16,0)),"")</f>
        <v>25</v>
      </c>
      <c r="E18" s="12">
        <f>IFERROR(INDEX(IDF_Dubai!$B$6:$P$6,MATCH(D18,IDF_Dubai!$B$6:$P$6,1)),"")</f>
        <v>20</v>
      </c>
      <c r="F18" s="15">
        <f>IFERROR(INDEX(IDF_Dubai!$B$7:$P$13,MATCH($B18,IDF_Dubai!$A$7:$A$13,0),MATCH(E18,IDF_Dubai!$B$6:$P$6,1)),"")</f>
        <v>85.92</v>
      </c>
      <c r="G18" s="20">
        <f>IFERROR(INDEX(Hotspots!$C$6:$C$16,MATCH($A18,Hotspots!$A$6:$A$16,0)),"")</f>
        <v>22</v>
      </c>
      <c r="H18" s="15">
        <f>IFERROR(INDEX(Hotspots!$D$6:$D$16,MATCH($A18,Hotspots!$A$6:$A$16,0)),"")</f>
        <v>0.85</v>
      </c>
      <c r="I18" s="15">
        <f>IFERROR(INDEX(Assumptions!$C$15:$C$19,MATCH($B18,Assumptions!$B$15:$B$19,0)),1)</f>
        <v>1.1000000000000001</v>
      </c>
      <c r="J18" s="15">
        <f>IF(OR(H18="",I18=""),"",MIN(H18*I18,1))</f>
        <v>0.93500000000000005</v>
      </c>
      <c r="K18" s="15">
        <f>IF(OR(J18="",F18="",G18=""),"",J18*F18*G18/360)</f>
        <v>4.9093733333333329</v>
      </c>
      <c r="L18" s="15">
        <f>IFERROR(INDEX(Hotspots!$G$6:$G$16,MATCH($A18,Hotspots!$A$6:$A$16,0)),"")</f>
        <v>3.1</v>
      </c>
      <c r="M18" s="15">
        <f>IF(OR(K18="",L18=""),"",MAX(0,K18-L18))</f>
        <v>1.8093733333333328</v>
      </c>
      <c r="N18" s="21">
        <f>IF(E18="","",E18*60)</f>
        <v>1200</v>
      </c>
      <c r="O18" s="15">
        <f>Assumptions!$C$7</f>
        <v>0.5</v>
      </c>
      <c r="P18" s="22">
        <f>IF(OR(M18="",N18=""),"",M18*N18*O18)</f>
        <v>1085.6239999999998</v>
      </c>
      <c r="Q18" s="15">
        <f>Assumptions!$C$6</f>
        <v>1.05</v>
      </c>
      <c r="R18" s="22">
        <f>IF(P18="","",P18*Q18)</f>
        <v>1139.9051999999999</v>
      </c>
      <c r="S18" s="22">
        <f>IFERROR(INDEX(Hotspots!$H$6:$H$16,MATCH($A18,Hotspots!$A$6:$A$16,0)),"")</f>
        <v>8000</v>
      </c>
      <c r="T18" s="22">
        <f>IF(OR(R18="",S18=""),"",MAX(0,R18-S18))</f>
        <v>0</v>
      </c>
      <c r="U18" s="20">
        <f>Assumptions!$C$8</f>
        <v>2</v>
      </c>
      <c r="V18" s="22">
        <f>IF(OR(T18="",U18=0),0,T18/U18)</f>
        <v>0</v>
      </c>
      <c r="W18" s="22">
        <f>Assumptions!$C$9</f>
        <v>300</v>
      </c>
      <c r="X18" s="21">
        <f>IF(OR(V18=0,W18=0),0,ROUNDUP(V18/W18,0))</f>
        <v>0</v>
      </c>
      <c r="Y18" s="22">
        <f>Assumptions!$C$10</f>
        <v>15</v>
      </c>
      <c r="Z18" s="21">
        <f>IF(OR(T18="",T18=0),0,ROUNDUP(T18/Y18,0))</f>
        <v>0</v>
      </c>
    </row>
    <row r="19" spans="1:26" ht="90" x14ac:dyDescent="0.2">
      <c r="A19" s="19" t="s">
        <v>71</v>
      </c>
      <c r="B19" s="19">
        <v>50</v>
      </c>
      <c r="C19" s="12" t="str">
        <f>IFERROR(INDEX(Hotspots!$B$6:$B$16,MATCH($A19,Hotspots!$A$6:$A$16,0)),"")</f>
        <v>EXAMPLE - Commercial/downtown catchment near coastline</v>
      </c>
      <c r="D19" s="12">
        <f>IFERROR(INDEX(Hotspots!$E$6:$E$16,MATCH($A19,Hotspots!$A$6:$A$16,0)),"")</f>
        <v>25</v>
      </c>
      <c r="E19" s="12">
        <f>IFERROR(INDEX(IDF_Dubai!$B$6:$P$6,MATCH(D19,IDF_Dubai!$B$6:$P$6,1)),"")</f>
        <v>20</v>
      </c>
      <c r="F19" s="15">
        <f>IFERROR(INDEX(IDF_Dubai!$B$7:$P$13,MATCH($B19,IDF_Dubai!$A$7:$A$13,0),MATCH(E19,IDF_Dubai!$B$6:$P$6,1)),"")</f>
        <v>108.78</v>
      </c>
      <c r="G19" s="20">
        <f>IFERROR(INDEX(Hotspots!$C$6:$C$16,MATCH($A19,Hotspots!$A$6:$A$16,0)),"")</f>
        <v>22</v>
      </c>
      <c r="H19" s="15">
        <f>IFERROR(INDEX(Hotspots!$D$6:$D$16,MATCH($A19,Hotspots!$A$6:$A$16,0)),"")</f>
        <v>0.85</v>
      </c>
      <c r="I19" s="15">
        <f>IFERROR(INDEX(Assumptions!$C$15:$C$19,MATCH($B19,Assumptions!$B$15:$B$19,0)),1)</f>
        <v>1.2</v>
      </c>
      <c r="J19" s="15">
        <f>IF(OR(H19="",I19=""),"",MIN(H19*I19,1))</f>
        <v>1</v>
      </c>
      <c r="K19" s="15">
        <f>IF(OR(J19="",F19="",G19=""),"",J19*F19*G19/360)</f>
        <v>6.6476666666666659</v>
      </c>
      <c r="L19" s="15">
        <f>IFERROR(INDEX(Hotspots!$G$6:$G$16,MATCH($A19,Hotspots!$A$6:$A$16,0)),"")</f>
        <v>3.1</v>
      </c>
      <c r="M19" s="15">
        <f>IF(OR(K19="",L19=""),"",MAX(0,K19-L19))</f>
        <v>3.5476666666666659</v>
      </c>
      <c r="N19" s="21">
        <f>IF(E19="","",E19*60)</f>
        <v>1200</v>
      </c>
      <c r="O19" s="15">
        <f>Assumptions!$C$7</f>
        <v>0.5</v>
      </c>
      <c r="P19" s="22">
        <f>IF(OR(M19="",N19=""),"",M19*N19*O19)</f>
        <v>2128.5999999999995</v>
      </c>
      <c r="Q19" s="15">
        <f>Assumptions!$C$6</f>
        <v>1.05</v>
      </c>
      <c r="R19" s="22">
        <f>IF(P19="","",P19*Q19)</f>
        <v>2235.0299999999997</v>
      </c>
      <c r="S19" s="22">
        <f>IFERROR(INDEX(Hotspots!$H$6:$H$16,MATCH($A19,Hotspots!$A$6:$A$16,0)),"")</f>
        <v>8000</v>
      </c>
      <c r="T19" s="22">
        <f>IF(OR(R19="",S19=""),"",MAX(0,R19-S19))</f>
        <v>0</v>
      </c>
      <c r="U19" s="20">
        <f>Assumptions!$C$8</f>
        <v>2</v>
      </c>
      <c r="V19" s="22">
        <f>IF(OR(T19="",U19=0),0,T19/U19)</f>
        <v>0</v>
      </c>
      <c r="W19" s="22">
        <f>Assumptions!$C$9</f>
        <v>300</v>
      </c>
      <c r="X19" s="21">
        <f>IF(OR(V19=0,W19=0),0,ROUNDUP(V19/W19,0))</f>
        <v>0</v>
      </c>
      <c r="Y19" s="22">
        <f>Assumptions!$C$10</f>
        <v>15</v>
      </c>
      <c r="Z19" s="21">
        <f>IF(OR(T19="",T19=0),0,ROUNDUP(T19/Y19,0))</f>
        <v>0</v>
      </c>
    </row>
    <row r="20" spans="1:26" ht="90" x14ac:dyDescent="0.2">
      <c r="A20" s="19" t="s">
        <v>71</v>
      </c>
      <c r="B20" s="19">
        <v>100</v>
      </c>
      <c r="C20" s="12" t="str">
        <f>IFERROR(INDEX(Hotspots!$B$6:$B$16,MATCH($A20,Hotspots!$A$6:$A$16,0)),"")</f>
        <v>EXAMPLE - Commercial/downtown catchment near coastline</v>
      </c>
      <c r="D20" s="12">
        <f>IFERROR(INDEX(Hotspots!$E$6:$E$16,MATCH($A20,Hotspots!$A$6:$A$16,0)),"")</f>
        <v>25</v>
      </c>
      <c r="E20" s="12">
        <f>IFERROR(INDEX(IDF_Dubai!$B$6:$P$6,MATCH(D20,IDF_Dubai!$B$6:$P$6,1)),"")</f>
        <v>20</v>
      </c>
      <c r="F20" s="15">
        <f>IFERROR(INDEX(IDF_Dubai!$B$7:$P$13,MATCH($B20,IDF_Dubai!$A$7:$A$13,0),MATCH(E20,IDF_Dubai!$B$6:$P$6,1)),"")</f>
        <v>134.49</v>
      </c>
      <c r="G20" s="20">
        <f>IFERROR(INDEX(Hotspots!$C$6:$C$16,MATCH($A20,Hotspots!$A$6:$A$16,0)),"")</f>
        <v>22</v>
      </c>
      <c r="H20" s="15">
        <f>IFERROR(INDEX(Hotspots!$D$6:$D$16,MATCH($A20,Hotspots!$A$6:$A$16,0)),"")</f>
        <v>0.85</v>
      </c>
      <c r="I20" s="15">
        <f>IFERROR(INDEX(Assumptions!$C$15:$C$19,MATCH($B20,Assumptions!$B$15:$B$19,0)),1)</f>
        <v>1.25</v>
      </c>
      <c r="J20" s="15">
        <f>IF(OR(H20="",I20=""),"",MIN(H20*I20,1))</f>
        <v>1</v>
      </c>
      <c r="K20" s="15">
        <f>IF(OR(J20="",F20="",G20=""),"",J20*F20*G20/360)</f>
        <v>8.2188333333333343</v>
      </c>
      <c r="L20" s="15">
        <f>IFERROR(INDEX(Hotspots!$G$6:$G$16,MATCH($A20,Hotspots!$A$6:$A$16,0)),"")</f>
        <v>3.1</v>
      </c>
      <c r="M20" s="15">
        <f>IF(OR(K20="",L20=""),"",MAX(0,K20-L20))</f>
        <v>5.1188333333333347</v>
      </c>
      <c r="N20" s="21">
        <f>IF(E20="","",E20*60)</f>
        <v>1200</v>
      </c>
      <c r="O20" s="15">
        <f>Assumptions!$C$7</f>
        <v>0.5</v>
      </c>
      <c r="P20" s="22">
        <f>IF(OR(M20="",N20=""),"",M20*N20*O20)</f>
        <v>3071.3000000000006</v>
      </c>
      <c r="Q20" s="15">
        <f>Assumptions!$C$6</f>
        <v>1.05</v>
      </c>
      <c r="R20" s="22">
        <f>IF(P20="","",P20*Q20)</f>
        <v>3224.8650000000007</v>
      </c>
      <c r="S20" s="22">
        <f>IFERROR(INDEX(Hotspots!$H$6:$H$16,MATCH($A20,Hotspots!$A$6:$A$16,0)),"")</f>
        <v>8000</v>
      </c>
      <c r="T20" s="22">
        <f>IF(OR(R20="",S20=""),"",MAX(0,R20-S20))</f>
        <v>0</v>
      </c>
      <c r="U20" s="20">
        <f>Assumptions!$C$8</f>
        <v>2</v>
      </c>
      <c r="V20" s="22">
        <f>IF(OR(T20="",U20=0),0,T20/U20)</f>
        <v>0</v>
      </c>
      <c r="W20" s="22">
        <f>Assumptions!$C$9</f>
        <v>300</v>
      </c>
      <c r="X20" s="21">
        <f>IF(OR(V20=0,W20=0),0,ROUNDUP(V20/W20,0))</f>
        <v>0</v>
      </c>
      <c r="Y20" s="22">
        <f>Assumptions!$C$10</f>
        <v>15</v>
      </c>
      <c r="Z20" s="21">
        <f>IF(OR(T20="",T20=0),0,ROUNDUP(T20/Y20,0))</f>
        <v>0</v>
      </c>
    </row>
    <row r="21" spans="1:26" ht="90" x14ac:dyDescent="0.2">
      <c r="A21" s="19" t="s">
        <v>73</v>
      </c>
      <c r="B21" s="19">
        <v>5</v>
      </c>
      <c r="C21" s="12" t="str">
        <f>IFERROR(INDEX(Hotspots!$B$6:$B$16,MATCH($A21,Hotspots!$A$6:$A$16,0)),"")</f>
        <v>EXAMPLE - New residential district, sandy soil, gentle slope</v>
      </c>
      <c r="D21" s="12">
        <f>IFERROR(INDEX(Hotspots!$E$6:$E$16,MATCH($A21,Hotspots!$A$6:$A$16,0)),"")</f>
        <v>60</v>
      </c>
      <c r="E21" s="12">
        <f>IFERROR(INDEX(IDF_Dubai!$B$6:$P$6,MATCH(D21,IDF_Dubai!$B$6:$P$6,1)),"")</f>
        <v>60</v>
      </c>
      <c r="F21" s="15">
        <f>IFERROR(INDEX(IDF_Dubai!$B$7:$P$13,MATCH($B21,IDF_Dubai!$A$7:$A$13,0),MATCH(E21,IDF_Dubai!$B$6:$P$6,1)),"")</f>
        <v>25.35</v>
      </c>
      <c r="G21" s="20">
        <f>IFERROR(INDEX(Hotspots!$C$6:$C$16,MATCH($A21,Hotspots!$A$6:$A$16,0)),"")</f>
        <v>60</v>
      </c>
      <c r="H21" s="15">
        <f>IFERROR(INDEX(Hotspots!$D$6:$D$16,MATCH($A21,Hotspots!$A$6:$A$16,0)),"")</f>
        <v>0.35</v>
      </c>
      <c r="I21" s="15">
        <f>IFERROR(INDEX(Assumptions!$C$15:$C$19,MATCH($B21,Assumptions!$B$15:$B$19,0)),1)</f>
        <v>1</v>
      </c>
      <c r="J21" s="15">
        <f>IF(OR(H21="",I21=""),"",MIN(H21*I21,1))</f>
        <v>0.35</v>
      </c>
      <c r="K21" s="15">
        <f>IF(OR(J21="",F21="",G21=""),"",J21*F21*G21/360)</f>
        <v>1.47875</v>
      </c>
      <c r="L21" s="15">
        <f>IFERROR(INDEX(Hotspots!$G$6:$G$16,MATCH($A21,Hotspots!$A$6:$A$16,0)),"")</f>
        <v>3.4</v>
      </c>
      <c r="M21" s="15">
        <f>IF(OR(K21="",L21=""),"",MAX(0,K21-L21))</f>
        <v>0</v>
      </c>
      <c r="N21" s="21">
        <f>IF(E21="","",E21*60)</f>
        <v>3600</v>
      </c>
      <c r="O21" s="15">
        <f>Assumptions!$C$7</f>
        <v>0.5</v>
      </c>
      <c r="P21" s="22">
        <f>IF(OR(M21="",N21=""),"",M21*N21*O21)</f>
        <v>0</v>
      </c>
      <c r="Q21" s="15">
        <f>Assumptions!$C$6</f>
        <v>1.05</v>
      </c>
      <c r="R21" s="22">
        <f>IF(P21="","",P21*Q21)</f>
        <v>0</v>
      </c>
      <c r="S21" s="22">
        <f>IFERROR(INDEX(Hotspots!$H$6:$H$16,MATCH($A21,Hotspots!$A$6:$A$16,0)),"")</f>
        <v>0</v>
      </c>
      <c r="T21" s="22">
        <f>IF(OR(R21="",S21=""),"",MAX(0,R21-S21))</f>
        <v>0</v>
      </c>
      <c r="U21" s="20">
        <f>Assumptions!$C$8</f>
        <v>2</v>
      </c>
      <c r="V21" s="22">
        <f>IF(OR(T21="",U21=0),0,T21/U21)</f>
        <v>0</v>
      </c>
      <c r="W21" s="22">
        <f>Assumptions!$C$9</f>
        <v>300</v>
      </c>
      <c r="X21" s="21">
        <f>IF(OR(V21=0,W21=0),0,ROUNDUP(V21/W21,0))</f>
        <v>0</v>
      </c>
      <c r="Y21" s="22">
        <f>Assumptions!$C$10</f>
        <v>15</v>
      </c>
      <c r="Z21" s="21">
        <f>IF(OR(T21="",T21=0),0,ROUNDUP(T21/Y21,0))</f>
        <v>0</v>
      </c>
    </row>
    <row r="22" spans="1:26" ht="90" x14ac:dyDescent="0.2">
      <c r="A22" s="19" t="s">
        <v>73</v>
      </c>
      <c r="B22" s="19">
        <v>10</v>
      </c>
      <c r="C22" s="12" t="str">
        <f>IFERROR(INDEX(Hotspots!$B$6:$B$16,MATCH($A22,Hotspots!$A$6:$A$16,0)),"")</f>
        <v>EXAMPLE - New residential district, sandy soil, gentle slope</v>
      </c>
      <c r="D22" s="12">
        <f>IFERROR(INDEX(Hotspots!$E$6:$E$16,MATCH($A22,Hotspots!$A$6:$A$16,0)),"")</f>
        <v>60</v>
      </c>
      <c r="E22" s="12">
        <f>IFERROR(INDEX(IDF_Dubai!$B$6:$P$6,MATCH(D22,IDF_Dubai!$B$6:$P$6,1)),"")</f>
        <v>60</v>
      </c>
      <c r="F22" s="15">
        <f>IFERROR(INDEX(IDF_Dubai!$B$7:$P$13,MATCH($B22,IDF_Dubai!$A$7:$A$13,0),MATCH(E22,IDF_Dubai!$B$6:$P$6,1)),"")</f>
        <v>34.22</v>
      </c>
      <c r="G22" s="20">
        <f>IFERROR(INDEX(Hotspots!$C$6:$C$16,MATCH($A22,Hotspots!$A$6:$A$16,0)),"")</f>
        <v>60</v>
      </c>
      <c r="H22" s="15">
        <f>IFERROR(INDEX(Hotspots!$D$6:$D$16,MATCH($A22,Hotspots!$A$6:$A$16,0)),"")</f>
        <v>0.35</v>
      </c>
      <c r="I22" s="15">
        <f>IFERROR(INDEX(Assumptions!$C$15:$C$19,MATCH($B22,Assumptions!$B$15:$B$19,0)),1)</f>
        <v>1</v>
      </c>
      <c r="J22" s="15">
        <f>IF(OR(H22="",I22=""),"",MIN(H22*I22,1))</f>
        <v>0.35</v>
      </c>
      <c r="K22" s="15">
        <f>IF(OR(J22="",F22="",G22=""),"",J22*F22*G22/360)</f>
        <v>1.9961666666666664</v>
      </c>
      <c r="L22" s="15">
        <f>IFERROR(INDEX(Hotspots!$G$6:$G$16,MATCH($A22,Hotspots!$A$6:$A$16,0)),"")</f>
        <v>3.4</v>
      </c>
      <c r="M22" s="15">
        <f>IF(OR(K22="",L22=""),"",MAX(0,K22-L22))</f>
        <v>0</v>
      </c>
      <c r="N22" s="21">
        <f>IF(E22="","",E22*60)</f>
        <v>3600</v>
      </c>
      <c r="O22" s="15">
        <f>Assumptions!$C$7</f>
        <v>0.5</v>
      </c>
      <c r="P22" s="22">
        <f>IF(OR(M22="",N22=""),"",M22*N22*O22)</f>
        <v>0</v>
      </c>
      <c r="Q22" s="15">
        <f>Assumptions!$C$6</f>
        <v>1.05</v>
      </c>
      <c r="R22" s="22">
        <f>IF(P22="","",P22*Q22)</f>
        <v>0</v>
      </c>
      <c r="S22" s="22">
        <f>IFERROR(INDEX(Hotspots!$H$6:$H$16,MATCH($A22,Hotspots!$A$6:$A$16,0)),"")</f>
        <v>0</v>
      </c>
      <c r="T22" s="22">
        <f>IF(OR(R22="",S22=""),"",MAX(0,R22-S22))</f>
        <v>0</v>
      </c>
      <c r="U22" s="20">
        <f>Assumptions!$C$8</f>
        <v>2</v>
      </c>
      <c r="V22" s="22">
        <f>IF(OR(T22="",U22=0),0,T22/U22)</f>
        <v>0</v>
      </c>
      <c r="W22" s="22">
        <f>Assumptions!$C$9</f>
        <v>300</v>
      </c>
      <c r="X22" s="21">
        <f>IF(OR(V22=0,W22=0),0,ROUNDUP(V22/W22,0))</f>
        <v>0</v>
      </c>
      <c r="Y22" s="22">
        <f>Assumptions!$C$10</f>
        <v>15</v>
      </c>
      <c r="Z22" s="21">
        <f>IF(OR(T22="",T22=0),0,ROUNDUP(T22/Y22,0))</f>
        <v>0</v>
      </c>
    </row>
    <row r="23" spans="1:26" ht="90" x14ac:dyDescent="0.2">
      <c r="A23" s="19" t="s">
        <v>73</v>
      </c>
      <c r="B23" s="19">
        <v>25</v>
      </c>
      <c r="C23" s="12" t="str">
        <f>IFERROR(INDEX(Hotspots!$B$6:$B$16,MATCH($A23,Hotspots!$A$6:$A$16,0)),"")</f>
        <v>EXAMPLE - New residential district, sandy soil, gentle slope</v>
      </c>
      <c r="D23" s="12">
        <f>IFERROR(INDEX(Hotspots!$E$6:$E$16,MATCH($A23,Hotspots!$A$6:$A$16,0)),"")</f>
        <v>60</v>
      </c>
      <c r="E23" s="12">
        <f>IFERROR(INDEX(IDF_Dubai!$B$6:$P$6,MATCH(D23,IDF_Dubai!$B$6:$P$6,1)),"")</f>
        <v>60</v>
      </c>
      <c r="F23" s="15">
        <f>IFERROR(INDEX(IDF_Dubai!$B$7:$P$13,MATCH($B23,IDF_Dubai!$A$7:$A$13,0),MATCH(E23,IDF_Dubai!$B$6:$P$6,1)),"")</f>
        <v>46.52</v>
      </c>
      <c r="G23" s="20">
        <f>IFERROR(INDEX(Hotspots!$C$6:$C$16,MATCH($A23,Hotspots!$A$6:$A$16,0)),"")</f>
        <v>60</v>
      </c>
      <c r="H23" s="15">
        <f>IFERROR(INDEX(Hotspots!$D$6:$D$16,MATCH($A23,Hotspots!$A$6:$A$16,0)),"")</f>
        <v>0.35</v>
      </c>
      <c r="I23" s="15">
        <f>IFERROR(INDEX(Assumptions!$C$15:$C$19,MATCH($B23,Assumptions!$B$15:$B$19,0)),1)</f>
        <v>1.1000000000000001</v>
      </c>
      <c r="J23" s="15">
        <f>IF(OR(H23="",I23=""),"",MIN(H23*I23,1))</f>
        <v>0.38500000000000001</v>
      </c>
      <c r="K23" s="15">
        <f>IF(OR(J23="",F23="",G23=""),"",J23*F23*G23/360)</f>
        <v>2.9850333333333334</v>
      </c>
      <c r="L23" s="15">
        <f>IFERROR(INDEX(Hotspots!$G$6:$G$16,MATCH($A23,Hotspots!$A$6:$A$16,0)),"")</f>
        <v>3.4</v>
      </c>
      <c r="M23" s="15">
        <f>IF(OR(K23="",L23=""),"",MAX(0,K23-L23))</f>
        <v>0</v>
      </c>
      <c r="N23" s="21">
        <f>IF(E23="","",E23*60)</f>
        <v>3600</v>
      </c>
      <c r="O23" s="15">
        <f>Assumptions!$C$7</f>
        <v>0.5</v>
      </c>
      <c r="P23" s="22">
        <f>IF(OR(M23="",N23=""),"",M23*N23*O23)</f>
        <v>0</v>
      </c>
      <c r="Q23" s="15">
        <f>Assumptions!$C$6</f>
        <v>1.05</v>
      </c>
      <c r="R23" s="22">
        <f>IF(P23="","",P23*Q23)</f>
        <v>0</v>
      </c>
      <c r="S23" s="22">
        <f>IFERROR(INDEX(Hotspots!$H$6:$H$16,MATCH($A23,Hotspots!$A$6:$A$16,0)),"")</f>
        <v>0</v>
      </c>
      <c r="T23" s="22">
        <f>IF(OR(R23="",S23=""),"",MAX(0,R23-S23))</f>
        <v>0</v>
      </c>
      <c r="U23" s="20">
        <f>Assumptions!$C$8</f>
        <v>2</v>
      </c>
      <c r="V23" s="22">
        <f>IF(OR(T23="",U23=0),0,T23/U23)</f>
        <v>0</v>
      </c>
      <c r="W23" s="22">
        <f>Assumptions!$C$9</f>
        <v>300</v>
      </c>
      <c r="X23" s="21">
        <f>IF(OR(V23=0,W23=0),0,ROUNDUP(V23/W23,0))</f>
        <v>0</v>
      </c>
      <c r="Y23" s="22">
        <f>Assumptions!$C$10</f>
        <v>15</v>
      </c>
      <c r="Z23" s="21">
        <f>IF(OR(T23="",T23=0),0,ROUNDUP(T23/Y23,0))</f>
        <v>0</v>
      </c>
    </row>
    <row r="24" spans="1:26" ht="90" x14ac:dyDescent="0.2">
      <c r="A24" s="19" t="s">
        <v>73</v>
      </c>
      <c r="B24" s="19">
        <v>50</v>
      </c>
      <c r="C24" s="12" t="str">
        <f>IFERROR(INDEX(Hotspots!$B$6:$B$16,MATCH($A24,Hotspots!$A$6:$A$16,0)),"")</f>
        <v>EXAMPLE - New residential district, sandy soil, gentle slope</v>
      </c>
      <c r="D24" s="12">
        <f>IFERROR(INDEX(Hotspots!$E$6:$E$16,MATCH($A24,Hotspots!$A$6:$A$16,0)),"")</f>
        <v>60</v>
      </c>
      <c r="E24" s="12">
        <f>IFERROR(INDEX(IDF_Dubai!$B$6:$P$6,MATCH(D24,IDF_Dubai!$B$6:$P$6,1)),"")</f>
        <v>60</v>
      </c>
      <c r="F24" s="15">
        <f>IFERROR(INDEX(IDF_Dubai!$B$7:$P$13,MATCH($B24,IDF_Dubai!$A$7:$A$13,0),MATCH(E24,IDF_Dubai!$B$6:$P$6,1)),"")</f>
        <v>58.89</v>
      </c>
      <c r="G24" s="20">
        <f>IFERROR(INDEX(Hotspots!$C$6:$C$16,MATCH($A24,Hotspots!$A$6:$A$16,0)),"")</f>
        <v>60</v>
      </c>
      <c r="H24" s="15">
        <f>IFERROR(INDEX(Hotspots!$D$6:$D$16,MATCH($A24,Hotspots!$A$6:$A$16,0)),"")</f>
        <v>0.35</v>
      </c>
      <c r="I24" s="15">
        <f>IFERROR(INDEX(Assumptions!$C$15:$C$19,MATCH($B24,Assumptions!$B$15:$B$19,0)),1)</f>
        <v>1.2</v>
      </c>
      <c r="J24" s="15">
        <f>IF(OR(H24="",I24=""),"",MIN(H24*I24,1))</f>
        <v>0.42</v>
      </c>
      <c r="K24" s="15">
        <f>IF(OR(J24="",F24="",G24=""),"",J24*F24*G24/360)</f>
        <v>4.1223000000000001</v>
      </c>
      <c r="L24" s="15">
        <f>IFERROR(INDEX(Hotspots!$G$6:$G$16,MATCH($A24,Hotspots!$A$6:$A$16,0)),"")</f>
        <v>3.4</v>
      </c>
      <c r="M24" s="15">
        <f>IF(OR(K24="",L24=""),"",MAX(0,K24-L24))</f>
        <v>0.72230000000000016</v>
      </c>
      <c r="N24" s="21">
        <f>IF(E24="","",E24*60)</f>
        <v>3600</v>
      </c>
      <c r="O24" s="15">
        <f>Assumptions!$C$7</f>
        <v>0.5</v>
      </c>
      <c r="P24" s="22">
        <f>IF(OR(M24="",N24=""),"",M24*N24*O24)</f>
        <v>1300.1400000000003</v>
      </c>
      <c r="Q24" s="15">
        <f>Assumptions!$C$6</f>
        <v>1.05</v>
      </c>
      <c r="R24" s="22">
        <f>IF(P24="","",P24*Q24)</f>
        <v>1365.1470000000004</v>
      </c>
      <c r="S24" s="22">
        <f>IFERROR(INDEX(Hotspots!$H$6:$H$16,MATCH($A24,Hotspots!$A$6:$A$16,0)),"")</f>
        <v>0</v>
      </c>
      <c r="T24" s="22">
        <f>IF(OR(R24="",S24=""),"",MAX(0,R24-S24))</f>
        <v>1365.1470000000004</v>
      </c>
      <c r="U24" s="20">
        <f>Assumptions!$C$8</f>
        <v>2</v>
      </c>
      <c r="V24" s="22">
        <f>IF(OR(T24="",U24=0),0,T24/U24)</f>
        <v>682.57350000000019</v>
      </c>
      <c r="W24" s="22">
        <f>Assumptions!$C$9</f>
        <v>300</v>
      </c>
      <c r="X24" s="21">
        <f>IF(OR(V24=0,W24=0),0,ROUNDUP(V24/W24,0))</f>
        <v>3</v>
      </c>
      <c r="Y24" s="22">
        <f>Assumptions!$C$10</f>
        <v>15</v>
      </c>
      <c r="Z24" s="21">
        <f>IF(OR(T24="",T24=0),0,ROUNDUP(T24/Y24,0))</f>
        <v>92</v>
      </c>
    </row>
    <row r="25" spans="1:26" ht="90" x14ac:dyDescent="0.2">
      <c r="A25" s="19" t="s">
        <v>73</v>
      </c>
      <c r="B25" s="19">
        <v>100</v>
      </c>
      <c r="C25" s="12" t="str">
        <f>IFERROR(INDEX(Hotspots!$B$6:$B$16,MATCH($A25,Hotspots!$A$6:$A$16,0)),"")</f>
        <v>EXAMPLE - New residential district, sandy soil, gentle slope</v>
      </c>
      <c r="D25" s="12">
        <f>IFERROR(INDEX(Hotspots!$E$6:$E$16,MATCH($A25,Hotspots!$A$6:$A$16,0)),"")</f>
        <v>60</v>
      </c>
      <c r="E25" s="12">
        <f>IFERROR(INDEX(IDF_Dubai!$B$6:$P$6,MATCH(D25,IDF_Dubai!$B$6:$P$6,1)),"")</f>
        <v>60</v>
      </c>
      <c r="F25" s="15">
        <f>IFERROR(INDEX(IDF_Dubai!$B$7:$P$13,MATCH($B25,IDF_Dubai!$A$7:$A$13,0),MATCH(E25,IDF_Dubai!$B$6:$P$6,1)),"")</f>
        <v>72.81</v>
      </c>
      <c r="G25" s="20">
        <f>IFERROR(INDEX(Hotspots!$C$6:$C$16,MATCH($A25,Hotspots!$A$6:$A$16,0)),"")</f>
        <v>60</v>
      </c>
      <c r="H25" s="15">
        <f>IFERROR(INDEX(Hotspots!$D$6:$D$16,MATCH($A25,Hotspots!$A$6:$A$16,0)),"")</f>
        <v>0.35</v>
      </c>
      <c r="I25" s="15">
        <f>IFERROR(INDEX(Assumptions!$C$15:$C$19,MATCH($B25,Assumptions!$B$15:$B$19,0)),1)</f>
        <v>1.25</v>
      </c>
      <c r="J25" s="15">
        <f>IF(OR(H25="",I25=""),"",MIN(H25*I25,1))</f>
        <v>0.4375</v>
      </c>
      <c r="K25" s="15">
        <f>IF(OR(J25="",F25="",G25=""),"",J25*F25*G25/360)</f>
        <v>5.3090625000000005</v>
      </c>
      <c r="L25" s="15">
        <f>IFERROR(INDEX(Hotspots!$G$6:$G$16,MATCH($A25,Hotspots!$A$6:$A$16,0)),"")</f>
        <v>3.4</v>
      </c>
      <c r="M25" s="15">
        <f>IF(OR(K25="",L25=""),"",MAX(0,K25-L25))</f>
        <v>1.9090625000000006</v>
      </c>
      <c r="N25" s="21">
        <f>IF(E25="","",E25*60)</f>
        <v>3600</v>
      </c>
      <c r="O25" s="15">
        <f>Assumptions!$C$7</f>
        <v>0.5</v>
      </c>
      <c r="P25" s="22">
        <f>IF(OR(M25="",N25=""),"",M25*N25*O25)</f>
        <v>3436.3125000000009</v>
      </c>
      <c r="Q25" s="15">
        <f>Assumptions!$C$6</f>
        <v>1.05</v>
      </c>
      <c r="R25" s="22">
        <f>IF(P25="","",P25*Q25)</f>
        <v>3608.1281250000011</v>
      </c>
      <c r="S25" s="22">
        <f>IFERROR(INDEX(Hotspots!$H$6:$H$16,MATCH($A25,Hotspots!$A$6:$A$16,0)),"")</f>
        <v>0</v>
      </c>
      <c r="T25" s="22">
        <f>IF(OR(R25="",S25=""),"",MAX(0,R25-S25))</f>
        <v>3608.1281250000011</v>
      </c>
      <c r="U25" s="20">
        <f>Assumptions!$C$8</f>
        <v>2</v>
      </c>
      <c r="V25" s="22">
        <f>IF(OR(T25="",U25=0),0,T25/U25)</f>
        <v>1804.0640625000005</v>
      </c>
      <c r="W25" s="22">
        <f>Assumptions!$C$9</f>
        <v>300</v>
      </c>
      <c r="X25" s="21">
        <f>IF(OR(V25=0,W25=0),0,ROUNDUP(V25/W25,0))</f>
        <v>7</v>
      </c>
      <c r="Y25" s="22">
        <f>Assumptions!$C$10</f>
        <v>15</v>
      </c>
      <c r="Z25" s="21">
        <f>IF(OR(T25="",T25=0),0,ROUNDUP(T25/Y25,0))</f>
        <v>241</v>
      </c>
    </row>
    <row r="26" spans="1:26" ht="64.5" x14ac:dyDescent="0.2">
      <c r="A26" s="19" t="s">
        <v>75</v>
      </c>
      <c r="B26" s="19">
        <v>5</v>
      </c>
      <c r="C26" s="12" t="str">
        <f>IFERROR(INDEX(Hotspots!$B$6:$B$16,MATCH($A26,Hotspots!$A$6:$A$16,0)),"")</f>
        <v>EXAMPLE - Airport-adjacent culvert catchment</v>
      </c>
      <c r="D26" s="12">
        <f>IFERROR(INDEX(Hotspots!$E$6:$E$16,MATCH($A26,Hotspots!$A$6:$A$16,0)),"")</f>
        <v>30</v>
      </c>
      <c r="E26" s="12">
        <f>IFERROR(INDEX(IDF_Dubai!$B$6:$P$6,MATCH(D26,IDF_Dubai!$B$6:$P$6,1)),"")</f>
        <v>30</v>
      </c>
      <c r="F26" s="15">
        <f>IFERROR(INDEX(IDF_Dubai!$B$7:$P$13,MATCH($B26,IDF_Dubai!$A$7:$A$13,0),MATCH(E26,IDF_Dubai!$B$6:$P$6,1)),"")</f>
        <v>41.68</v>
      </c>
      <c r="G26" s="20">
        <f>IFERROR(INDEX(Hotspots!$C$6:$C$16,MATCH($A26,Hotspots!$A$6:$A$16,0)),"")</f>
        <v>40</v>
      </c>
      <c r="H26" s="15">
        <f>IFERROR(INDEX(Hotspots!$D$6:$D$16,MATCH($A26,Hotspots!$A$6:$A$16,0)),"")</f>
        <v>0.6</v>
      </c>
      <c r="I26" s="15">
        <f>IFERROR(INDEX(Assumptions!$C$15:$C$19,MATCH($B26,Assumptions!$B$15:$B$19,0)),1)</f>
        <v>1</v>
      </c>
      <c r="J26" s="15">
        <f>IF(OR(H26="",I26=""),"",MIN(H26*I26,1))</f>
        <v>0.6</v>
      </c>
      <c r="K26" s="15">
        <f>IF(OR(J26="",F26="",G26=""),"",J26*F26*G26/360)</f>
        <v>2.7786666666666666</v>
      </c>
      <c r="L26" s="15">
        <f>IFERROR(INDEX(Hotspots!$G$6:$G$16,MATCH($A26,Hotspots!$A$6:$A$16,0)),"")</f>
        <v>4</v>
      </c>
      <c r="M26" s="15">
        <f>IF(OR(K26="",L26=""),"",MAX(0,K26-L26))</f>
        <v>0</v>
      </c>
      <c r="N26" s="21">
        <f>IF(E26="","",E26*60)</f>
        <v>1800</v>
      </c>
      <c r="O26" s="15">
        <f>Assumptions!$C$7</f>
        <v>0.5</v>
      </c>
      <c r="P26" s="22">
        <f>IF(OR(M26="",N26=""),"",M26*N26*O26)</f>
        <v>0</v>
      </c>
      <c r="Q26" s="15">
        <f>Assumptions!$C$6</f>
        <v>1.05</v>
      </c>
      <c r="R26" s="22">
        <f>IF(P26="","",P26*Q26)</f>
        <v>0</v>
      </c>
      <c r="S26" s="22">
        <f>IFERROR(INDEX(Hotspots!$H$6:$H$16,MATCH($A26,Hotspots!$A$6:$A$16,0)),"")</f>
        <v>6000</v>
      </c>
      <c r="T26" s="22">
        <f>IF(OR(R26="",S26=""),"",MAX(0,R26-S26))</f>
        <v>0</v>
      </c>
      <c r="U26" s="20">
        <f>Assumptions!$C$8</f>
        <v>2</v>
      </c>
      <c r="V26" s="22">
        <f>IF(OR(T26="",U26=0),0,T26/U26)</f>
        <v>0</v>
      </c>
      <c r="W26" s="22">
        <f>Assumptions!$C$9</f>
        <v>300</v>
      </c>
      <c r="X26" s="21">
        <f>IF(OR(V26=0,W26=0),0,ROUNDUP(V26/W26,0))</f>
        <v>0</v>
      </c>
      <c r="Y26" s="22">
        <f>Assumptions!$C$10</f>
        <v>15</v>
      </c>
      <c r="Z26" s="21">
        <f>IF(OR(T26="",T26=0),0,ROUNDUP(T26/Y26,0))</f>
        <v>0</v>
      </c>
    </row>
    <row r="27" spans="1:26" ht="64.5" x14ac:dyDescent="0.2">
      <c r="A27" s="19" t="s">
        <v>75</v>
      </c>
      <c r="B27" s="19">
        <v>10</v>
      </c>
      <c r="C27" s="12" t="str">
        <f>IFERROR(INDEX(Hotspots!$B$6:$B$16,MATCH($A27,Hotspots!$A$6:$A$16,0)),"")</f>
        <v>EXAMPLE - Airport-adjacent culvert catchment</v>
      </c>
      <c r="D27" s="12">
        <f>IFERROR(INDEX(Hotspots!$E$6:$E$16,MATCH($A27,Hotspots!$A$6:$A$16,0)),"")</f>
        <v>30</v>
      </c>
      <c r="E27" s="12">
        <f>IFERROR(INDEX(IDF_Dubai!$B$6:$P$6,MATCH(D27,IDF_Dubai!$B$6:$P$6,1)),"")</f>
        <v>30</v>
      </c>
      <c r="F27" s="15">
        <f>IFERROR(INDEX(IDF_Dubai!$B$7:$P$13,MATCH($B27,IDF_Dubai!$A$7:$A$13,0),MATCH(E27,IDF_Dubai!$B$6:$P$6,1)),"")</f>
        <v>54.72</v>
      </c>
      <c r="G27" s="20">
        <f>IFERROR(INDEX(Hotspots!$C$6:$C$16,MATCH($A27,Hotspots!$A$6:$A$16,0)),"")</f>
        <v>40</v>
      </c>
      <c r="H27" s="15">
        <f>IFERROR(INDEX(Hotspots!$D$6:$D$16,MATCH($A27,Hotspots!$A$6:$A$16,0)),"")</f>
        <v>0.6</v>
      </c>
      <c r="I27" s="15">
        <f>IFERROR(INDEX(Assumptions!$C$15:$C$19,MATCH($B27,Assumptions!$B$15:$B$19,0)),1)</f>
        <v>1</v>
      </c>
      <c r="J27" s="15">
        <f>IF(OR(H27="",I27=""),"",MIN(H27*I27,1))</f>
        <v>0.6</v>
      </c>
      <c r="K27" s="15">
        <f>IF(OR(J27="",F27="",G27=""),"",J27*F27*G27/360)</f>
        <v>3.6480000000000001</v>
      </c>
      <c r="L27" s="15">
        <f>IFERROR(INDEX(Hotspots!$G$6:$G$16,MATCH($A27,Hotspots!$A$6:$A$16,0)),"")</f>
        <v>4</v>
      </c>
      <c r="M27" s="15">
        <f>IF(OR(K27="",L27=""),"",MAX(0,K27-L27))</f>
        <v>0</v>
      </c>
      <c r="N27" s="21">
        <f>IF(E27="","",E27*60)</f>
        <v>1800</v>
      </c>
      <c r="O27" s="15">
        <f>Assumptions!$C$7</f>
        <v>0.5</v>
      </c>
      <c r="P27" s="22">
        <f>IF(OR(M27="",N27=""),"",M27*N27*O27)</f>
        <v>0</v>
      </c>
      <c r="Q27" s="15">
        <f>Assumptions!$C$6</f>
        <v>1.05</v>
      </c>
      <c r="R27" s="22">
        <f>IF(P27="","",P27*Q27)</f>
        <v>0</v>
      </c>
      <c r="S27" s="22">
        <f>IFERROR(INDEX(Hotspots!$H$6:$H$16,MATCH($A27,Hotspots!$A$6:$A$16,0)),"")</f>
        <v>6000</v>
      </c>
      <c r="T27" s="22">
        <f>IF(OR(R27="",S27=""),"",MAX(0,R27-S27))</f>
        <v>0</v>
      </c>
      <c r="U27" s="20">
        <f>Assumptions!$C$8</f>
        <v>2</v>
      </c>
      <c r="V27" s="22">
        <f>IF(OR(T27="",U27=0),0,T27/U27)</f>
        <v>0</v>
      </c>
      <c r="W27" s="22">
        <f>Assumptions!$C$9</f>
        <v>300</v>
      </c>
      <c r="X27" s="21">
        <f>IF(OR(V27=0,W27=0),0,ROUNDUP(V27/W27,0))</f>
        <v>0</v>
      </c>
      <c r="Y27" s="22">
        <f>Assumptions!$C$10</f>
        <v>15</v>
      </c>
      <c r="Z27" s="21">
        <f>IF(OR(T27="",T27=0),0,ROUNDUP(T27/Y27,0))</f>
        <v>0</v>
      </c>
    </row>
    <row r="28" spans="1:26" ht="64.5" x14ac:dyDescent="0.2">
      <c r="A28" s="19" t="s">
        <v>75</v>
      </c>
      <c r="B28" s="19">
        <v>25</v>
      </c>
      <c r="C28" s="12" t="str">
        <f>IFERROR(INDEX(Hotspots!$B$6:$B$16,MATCH($A28,Hotspots!$A$6:$A$16,0)),"")</f>
        <v>EXAMPLE - Airport-adjacent culvert catchment</v>
      </c>
      <c r="D28" s="12">
        <f>IFERROR(INDEX(Hotspots!$E$6:$E$16,MATCH($A28,Hotspots!$A$6:$A$16,0)),"")</f>
        <v>30</v>
      </c>
      <c r="E28" s="12">
        <f>IFERROR(INDEX(IDF_Dubai!$B$6:$P$6,MATCH(D28,IDF_Dubai!$B$6:$P$6,1)),"")</f>
        <v>30</v>
      </c>
      <c r="F28" s="15">
        <f>IFERROR(INDEX(IDF_Dubai!$B$7:$P$13,MATCH($B28,IDF_Dubai!$A$7:$A$13,0),MATCH(E28,IDF_Dubai!$B$6:$P$6,1)),"")</f>
        <v>71.319999999999993</v>
      </c>
      <c r="G28" s="20">
        <f>IFERROR(INDEX(Hotspots!$C$6:$C$16,MATCH($A28,Hotspots!$A$6:$A$16,0)),"")</f>
        <v>40</v>
      </c>
      <c r="H28" s="15">
        <f>IFERROR(INDEX(Hotspots!$D$6:$D$16,MATCH($A28,Hotspots!$A$6:$A$16,0)),"")</f>
        <v>0.6</v>
      </c>
      <c r="I28" s="15">
        <f>IFERROR(INDEX(Assumptions!$C$15:$C$19,MATCH($B28,Assumptions!$B$15:$B$19,0)),1)</f>
        <v>1.1000000000000001</v>
      </c>
      <c r="J28" s="15">
        <f>IF(OR(H28="",I28=""),"",MIN(H28*I28,1))</f>
        <v>0.66</v>
      </c>
      <c r="K28" s="15">
        <f>IF(OR(J28="",F28="",G28=""),"",J28*F28*G28/360)</f>
        <v>5.2301333333333329</v>
      </c>
      <c r="L28" s="15">
        <f>IFERROR(INDEX(Hotspots!$G$6:$G$16,MATCH($A28,Hotspots!$A$6:$A$16,0)),"")</f>
        <v>4</v>
      </c>
      <c r="M28" s="15">
        <f>IF(OR(K28="",L28=""),"",MAX(0,K28-L28))</f>
        <v>1.2301333333333329</v>
      </c>
      <c r="N28" s="21">
        <f>IF(E28="","",E28*60)</f>
        <v>1800</v>
      </c>
      <c r="O28" s="15">
        <f>Assumptions!$C$7</f>
        <v>0.5</v>
      </c>
      <c r="P28" s="22">
        <f>IF(OR(M28="",N28=""),"",M28*N28*O28)</f>
        <v>1107.1199999999997</v>
      </c>
      <c r="Q28" s="15">
        <f>Assumptions!$C$6</f>
        <v>1.05</v>
      </c>
      <c r="R28" s="22">
        <f>IF(P28="","",P28*Q28)</f>
        <v>1162.4759999999997</v>
      </c>
      <c r="S28" s="22">
        <f>IFERROR(INDEX(Hotspots!$H$6:$H$16,MATCH($A28,Hotspots!$A$6:$A$16,0)),"")</f>
        <v>6000</v>
      </c>
      <c r="T28" s="22">
        <f>IF(OR(R28="",S28=""),"",MAX(0,R28-S28))</f>
        <v>0</v>
      </c>
      <c r="U28" s="20">
        <f>Assumptions!$C$8</f>
        <v>2</v>
      </c>
      <c r="V28" s="22">
        <f>IF(OR(T28="",U28=0),0,T28/U28)</f>
        <v>0</v>
      </c>
      <c r="W28" s="22">
        <f>Assumptions!$C$9</f>
        <v>300</v>
      </c>
      <c r="X28" s="21">
        <f>IF(OR(V28=0,W28=0),0,ROUNDUP(V28/W28,0))</f>
        <v>0</v>
      </c>
      <c r="Y28" s="22">
        <f>Assumptions!$C$10</f>
        <v>15</v>
      </c>
      <c r="Z28" s="21">
        <f>IF(OR(T28="",T28=0),0,ROUNDUP(T28/Y28,0))</f>
        <v>0</v>
      </c>
    </row>
    <row r="29" spans="1:26" ht="64.5" x14ac:dyDescent="0.2">
      <c r="A29" s="19" t="s">
        <v>75</v>
      </c>
      <c r="B29" s="19">
        <v>50</v>
      </c>
      <c r="C29" s="12" t="str">
        <f>IFERROR(INDEX(Hotspots!$B$6:$B$16,MATCH($A29,Hotspots!$A$6:$A$16,0)),"")</f>
        <v>EXAMPLE - Airport-adjacent culvert catchment</v>
      </c>
      <c r="D29" s="12">
        <f>IFERROR(INDEX(Hotspots!$E$6:$E$16,MATCH($A29,Hotspots!$A$6:$A$16,0)),"")</f>
        <v>30</v>
      </c>
      <c r="E29" s="12">
        <f>IFERROR(INDEX(IDF_Dubai!$B$6:$P$6,MATCH(D29,IDF_Dubai!$B$6:$P$6,1)),"")</f>
        <v>30</v>
      </c>
      <c r="F29" s="15">
        <f>IFERROR(INDEX(IDF_Dubai!$B$7:$P$13,MATCH($B29,IDF_Dubai!$A$7:$A$13,0),MATCH(E29,IDF_Dubai!$B$6:$P$6,1)),"")</f>
        <v>90.3</v>
      </c>
      <c r="G29" s="20">
        <f>IFERROR(INDEX(Hotspots!$C$6:$C$16,MATCH($A29,Hotspots!$A$6:$A$16,0)),"")</f>
        <v>40</v>
      </c>
      <c r="H29" s="15">
        <f>IFERROR(INDEX(Hotspots!$D$6:$D$16,MATCH($A29,Hotspots!$A$6:$A$16,0)),"")</f>
        <v>0.6</v>
      </c>
      <c r="I29" s="15">
        <f>IFERROR(INDEX(Assumptions!$C$15:$C$19,MATCH($B29,Assumptions!$B$15:$B$19,0)),1)</f>
        <v>1.2</v>
      </c>
      <c r="J29" s="15">
        <f>IF(OR(H29="",I29=""),"",MIN(H29*I29,1))</f>
        <v>0.72</v>
      </c>
      <c r="K29" s="15">
        <f>IF(OR(J29="",F29="",G29=""),"",J29*F29*G29/360)</f>
        <v>7.2239999999999984</v>
      </c>
      <c r="L29" s="15">
        <f>IFERROR(INDEX(Hotspots!$G$6:$G$16,MATCH($A29,Hotspots!$A$6:$A$16,0)),"")</f>
        <v>4</v>
      </c>
      <c r="M29" s="15">
        <f>IF(OR(K29="",L29=""),"",MAX(0,K29-L29))</f>
        <v>3.2239999999999984</v>
      </c>
      <c r="N29" s="21">
        <f>IF(E29="","",E29*60)</f>
        <v>1800</v>
      </c>
      <c r="O29" s="15">
        <f>Assumptions!$C$7</f>
        <v>0.5</v>
      </c>
      <c r="P29" s="22">
        <f>IF(OR(M29="",N29=""),"",M29*N29*O29)</f>
        <v>2901.5999999999985</v>
      </c>
      <c r="Q29" s="15">
        <f>Assumptions!$C$6</f>
        <v>1.05</v>
      </c>
      <c r="R29" s="22">
        <f>IF(P29="","",P29*Q29)</f>
        <v>3046.6799999999985</v>
      </c>
      <c r="S29" s="22">
        <f>IFERROR(INDEX(Hotspots!$H$6:$H$16,MATCH($A29,Hotspots!$A$6:$A$16,0)),"")</f>
        <v>6000</v>
      </c>
      <c r="T29" s="22">
        <f>IF(OR(R29="",S29=""),"",MAX(0,R29-S29))</f>
        <v>0</v>
      </c>
      <c r="U29" s="20">
        <f>Assumptions!$C$8</f>
        <v>2</v>
      </c>
      <c r="V29" s="22">
        <f>IF(OR(T29="",U29=0),0,T29/U29)</f>
        <v>0</v>
      </c>
      <c r="W29" s="22">
        <f>Assumptions!$C$9</f>
        <v>300</v>
      </c>
      <c r="X29" s="21">
        <f>IF(OR(V29=0,W29=0),0,ROUNDUP(V29/W29,0))</f>
        <v>0</v>
      </c>
      <c r="Y29" s="22">
        <f>Assumptions!$C$10</f>
        <v>15</v>
      </c>
      <c r="Z29" s="21">
        <f>IF(OR(T29="",T29=0),0,ROUNDUP(T29/Y29,0))</f>
        <v>0</v>
      </c>
    </row>
    <row r="30" spans="1:26" ht="64.5" x14ac:dyDescent="0.2">
      <c r="A30" s="19" t="s">
        <v>75</v>
      </c>
      <c r="B30" s="19">
        <v>100</v>
      </c>
      <c r="C30" s="12" t="str">
        <f>IFERROR(INDEX(Hotspots!$B$6:$B$16,MATCH($A30,Hotspots!$A$6:$A$16,0)),"")</f>
        <v>EXAMPLE - Airport-adjacent culvert catchment</v>
      </c>
      <c r="D30" s="12">
        <f>IFERROR(INDEX(Hotspots!$E$6:$E$16,MATCH($A30,Hotspots!$A$6:$A$16,0)),"")</f>
        <v>30</v>
      </c>
      <c r="E30" s="12">
        <f>IFERROR(INDEX(IDF_Dubai!$B$6:$P$6,MATCH(D30,IDF_Dubai!$B$6:$P$6,1)),"")</f>
        <v>30</v>
      </c>
      <c r="F30" s="15">
        <f>IFERROR(INDEX(IDF_Dubai!$B$7:$P$13,MATCH($B30,IDF_Dubai!$A$7:$A$13,0),MATCH(E30,IDF_Dubai!$B$6:$P$6,1)),"")</f>
        <v>111.63</v>
      </c>
      <c r="G30" s="20">
        <f>IFERROR(INDEX(Hotspots!$C$6:$C$16,MATCH($A30,Hotspots!$A$6:$A$16,0)),"")</f>
        <v>40</v>
      </c>
      <c r="H30" s="15">
        <f>IFERROR(INDEX(Hotspots!$D$6:$D$16,MATCH($A30,Hotspots!$A$6:$A$16,0)),"")</f>
        <v>0.6</v>
      </c>
      <c r="I30" s="15">
        <f>IFERROR(INDEX(Assumptions!$C$15:$C$19,MATCH($B30,Assumptions!$B$15:$B$19,0)),1)</f>
        <v>1.25</v>
      </c>
      <c r="J30" s="15">
        <f>IF(OR(H30="",I30=""),"",MIN(H30*I30,1))</f>
        <v>0.75</v>
      </c>
      <c r="K30" s="15">
        <f>IF(OR(J30="",F30="",G30=""),"",J30*F30*G30/360)</f>
        <v>9.3024999999999984</v>
      </c>
      <c r="L30" s="15">
        <f>IFERROR(INDEX(Hotspots!$G$6:$G$16,MATCH($A30,Hotspots!$A$6:$A$16,0)),"")</f>
        <v>4</v>
      </c>
      <c r="M30" s="15">
        <f>IF(OR(K30="",L30=""),"",MAX(0,K30-L30))</f>
        <v>5.3024999999999984</v>
      </c>
      <c r="N30" s="21">
        <f>IF(E30="","",E30*60)</f>
        <v>1800</v>
      </c>
      <c r="O30" s="15">
        <f>Assumptions!$C$7</f>
        <v>0.5</v>
      </c>
      <c r="P30" s="22">
        <f>IF(OR(M30="",N30=""),"",M30*N30*O30)</f>
        <v>4772.2499999999982</v>
      </c>
      <c r="Q30" s="15">
        <f>Assumptions!$C$6</f>
        <v>1.05</v>
      </c>
      <c r="R30" s="22">
        <f>IF(P30="","",P30*Q30)</f>
        <v>5010.8624999999984</v>
      </c>
      <c r="S30" s="22">
        <f>IFERROR(INDEX(Hotspots!$H$6:$H$16,MATCH($A30,Hotspots!$A$6:$A$16,0)),"")</f>
        <v>6000</v>
      </c>
      <c r="T30" s="22">
        <f>IF(OR(R30="",S30=""),"",MAX(0,R30-S30))</f>
        <v>0</v>
      </c>
      <c r="U30" s="20">
        <f>Assumptions!$C$8</f>
        <v>2</v>
      </c>
      <c r="V30" s="22">
        <f>IF(OR(T30="",U30=0),0,T30/U30)</f>
        <v>0</v>
      </c>
      <c r="W30" s="22">
        <f>Assumptions!$C$9</f>
        <v>300</v>
      </c>
      <c r="X30" s="21">
        <f>IF(OR(V30=0,W30=0),0,ROUNDUP(V30/W30,0))</f>
        <v>0</v>
      </c>
      <c r="Y30" s="22">
        <f>Assumptions!$C$10</f>
        <v>15</v>
      </c>
      <c r="Z30" s="21">
        <f>IF(OR(T30="",T30=0),0,ROUNDUP(T30/Y30,0))</f>
        <v>0</v>
      </c>
    </row>
    <row r="31" spans="1:26" ht="90" x14ac:dyDescent="0.2">
      <c r="A31" s="19" t="s">
        <v>77</v>
      </c>
      <c r="B31" s="19">
        <v>5</v>
      </c>
      <c r="C31" s="12" t="str">
        <f>IFERROR(INDEX(Hotspots!$B$6:$B$16,MATCH($A31,Hotspots!$A$6:$A$16,0)),"")</f>
        <v>EXAMPLE - Government building precinct, basement car parks</v>
      </c>
      <c r="D31" s="12">
        <f>IFERROR(INDEX(Hotspots!$E$6:$E$16,MATCH($A31,Hotspots!$A$6:$A$16,0)),"")</f>
        <v>15</v>
      </c>
      <c r="E31" s="12">
        <f>IFERROR(INDEX(IDF_Dubai!$B$6:$P$6,MATCH(D31,IDF_Dubai!$B$6:$P$6,1)),"")</f>
        <v>15</v>
      </c>
      <c r="F31" s="15">
        <f>IFERROR(INDEX(IDF_Dubai!$B$7:$P$13,MATCH($B31,IDF_Dubai!$A$7:$A$13,0),MATCH(E31,IDF_Dubai!$B$6:$P$6,1)),"")</f>
        <v>63.34</v>
      </c>
      <c r="G31" s="20">
        <f>IFERROR(INDEX(Hotspots!$C$6:$C$16,MATCH($A31,Hotspots!$A$6:$A$16,0)),"")</f>
        <v>8</v>
      </c>
      <c r="H31" s="15">
        <f>IFERROR(INDEX(Hotspots!$D$6:$D$16,MATCH($A31,Hotspots!$A$6:$A$16,0)),"")</f>
        <v>0.8</v>
      </c>
      <c r="I31" s="15">
        <f>IFERROR(INDEX(Assumptions!$C$15:$C$19,MATCH($B31,Assumptions!$B$15:$B$19,0)),1)</f>
        <v>1</v>
      </c>
      <c r="J31" s="15">
        <f>IF(OR(H31="",I31=""),"",MIN(H31*I31,1))</f>
        <v>0.8</v>
      </c>
      <c r="K31" s="15">
        <f>IF(OR(J31="",F31="",G31=""),"",J31*F31*G31/360)</f>
        <v>1.1260444444444446</v>
      </c>
      <c r="L31" s="15">
        <f>IFERROR(INDEX(Hotspots!$G$6:$G$16,MATCH($A31,Hotspots!$A$6:$A$16,0)),"")</f>
        <v>1.2</v>
      </c>
      <c r="M31" s="15">
        <f>IF(OR(K31="",L31=""),"",MAX(0,K31-L31))</f>
        <v>0</v>
      </c>
      <c r="N31" s="21">
        <f>IF(E31="","",E31*60)</f>
        <v>900</v>
      </c>
      <c r="O31" s="15">
        <f>Assumptions!$C$7</f>
        <v>0.5</v>
      </c>
      <c r="P31" s="22">
        <f>IF(OR(M31="",N31=""),"",M31*N31*O31)</f>
        <v>0</v>
      </c>
      <c r="Q31" s="15">
        <f>Assumptions!$C$6</f>
        <v>1.05</v>
      </c>
      <c r="R31" s="22">
        <f>IF(P31="","",P31*Q31)</f>
        <v>0</v>
      </c>
      <c r="S31" s="22">
        <f>IFERROR(INDEX(Hotspots!$H$6:$H$16,MATCH($A31,Hotspots!$A$6:$A$16,0)),"")</f>
        <v>2000</v>
      </c>
      <c r="T31" s="22">
        <f>IF(OR(R31="",S31=""),"",MAX(0,R31-S31))</f>
        <v>0</v>
      </c>
      <c r="U31" s="20">
        <f>Assumptions!$C$8</f>
        <v>2</v>
      </c>
      <c r="V31" s="22">
        <f>IF(OR(T31="",U31=0),0,T31/U31)</f>
        <v>0</v>
      </c>
      <c r="W31" s="22">
        <f>Assumptions!$C$9</f>
        <v>300</v>
      </c>
      <c r="X31" s="21">
        <f>IF(OR(V31=0,W31=0),0,ROUNDUP(V31/W31,0))</f>
        <v>0</v>
      </c>
      <c r="Y31" s="22">
        <f>Assumptions!$C$10</f>
        <v>15</v>
      </c>
      <c r="Z31" s="21">
        <f>IF(OR(T31="",T31=0),0,ROUNDUP(T31/Y31,0))</f>
        <v>0</v>
      </c>
    </row>
    <row r="32" spans="1:26" ht="90" x14ac:dyDescent="0.2">
      <c r="A32" s="19" t="s">
        <v>77</v>
      </c>
      <c r="B32" s="19">
        <v>10</v>
      </c>
      <c r="C32" s="12" t="str">
        <f>IFERROR(INDEX(Hotspots!$B$6:$B$16,MATCH($A32,Hotspots!$A$6:$A$16,0)),"")</f>
        <v>EXAMPLE - Government building precinct, basement car parks</v>
      </c>
      <c r="D32" s="12">
        <f>IFERROR(INDEX(Hotspots!$E$6:$E$16,MATCH($A32,Hotspots!$A$6:$A$16,0)),"")</f>
        <v>15</v>
      </c>
      <c r="E32" s="12">
        <f>IFERROR(INDEX(IDF_Dubai!$B$6:$P$6,MATCH(D32,IDF_Dubai!$B$6:$P$6,1)),"")</f>
        <v>15</v>
      </c>
      <c r="F32" s="15">
        <f>IFERROR(INDEX(IDF_Dubai!$B$7:$P$13,MATCH($B32,IDF_Dubai!$A$7:$A$13,0),MATCH(E32,IDF_Dubai!$B$6:$P$6,1)),"")</f>
        <v>80.41</v>
      </c>
      <c r="G32" s="20">
        <f>IFERROR(INDEX(Hotspots!$C$6:$C$16,MATCH($A32,Hotspots!$A$6:$A$16,0)),"")</f>
        <v>8</v>
      </c>
      <c r="H32" s="15">
        <f>IFERROR(INDEX(Hotspots!$D$6:$D$16,MATCH($A32,Hotspots!$A$6:$A$16,0)),"")</f>
        <v>0.8</v>
      </c>
      <c r="I32" s="15">
        <f>IFERROR(INDEX(Assumptions!$C$15:$C$19,MATCH($B32,Assumptions!$B$15:$B$19,0)),1)</f>
        <v>1</v>
      </c>
      <c r="J32" s="15">
        <f>IF(OR(H32="",I32=""),"",MIN(H32*I32,1))</f>
        <v>0.8</v>
      </c>
      <c r="K32" s="15">
        <f>IF(OR(J32="",F32="",G32=""),"",J32*F32*G32/360)</f>
        <v>1.4295111111111112</v>
      </c>
      <c r="L32" s="15">
        <f>IFERROR(INDEX(Hotspots!$G$6:$G$16,MATCH($A32,Hotspots!$A$6:$A$16,0)),"")</f>
        <v>1.2</v>
      </c>
      <c r="M32" s="15">
        <f>IF(OR(K32="",L32=""),"",MAX(0,K32-L32))</f>
        <v>0.22951111111111122</v>
      </c>
      <c r="N32" s="21">
        <f>IF(E32="","",E32*60)</f>
        <v>900</v>
      </c>
      <c r="O32" s="15">
        <f>Assumptions!$C$7</f>
        <v>0.5</v>
      </c>
      <c r="P32" s="22">
        <f>IF(OR(M32="",N32=""),"",M32*N32*O32)</f>
        <v>103.28000000000004</v>
      </c>
      <c r="Q32" s="15">
        <f>Assumptions!$C$6</f>
        <v>1.05</v>
      </c>
      <c r="R32" s="22">
        <f>IF(P32="","",P32*Q32)</f>
        <v>108.44400000000005</v>
      </c>
      <c r="S32" s="22">
        <f>IFERROR(INDEX(Hotspots!$H$6:$H$16,MATCH($A32,Hotspots!$A$6:$A$16,0)),"")</f>
        <v>2000</v>
      </c>
      <c r="T32" s="22">
        <f>IF(OR(R32="",S32=""),"",MAX(0,R32-S32))</f>
        <v>0</v>
      </c>
      <c r="U32" s="20">
        <f>Assumptions!$C$8</f>
        <v>2</v>
      </c>
      <c r="V32" s="22">
        <f>IF(OR(T32="",U32=0),0,T32/U32)</f>
        <v>0</v>
      </c>
      <c r="W32" s="22">
        <f>Assumptions!$C$9</f>
        <v>300</v>
      </c>
      <c r="X32" s="21">
        <f>IF(OR(V32=0,W32=0),0,ROUNDUP(V32/W32,0))</f>
        <v>0</v>
      </c>
      <c r="Y32" s="22">
        <f>Assumptions!$C$10</f>
        <v>15</v>
      </c>
      <c r="Z32" s="21">
        <f>IF(OR(T32="",T32=0),0,ROUNDUP(T32/Y32,0))</f>
        <v>0</v>
      </c>
    </row>
    <row r="33" spans="1:26" ht="90" x14ac:dyDescent="0.2">
      <c r="A33" s="19" t="s">
        <v>77</v>
      </c>
      <c r="B33" s="19">
        <v>25</v>
      </c>
      <c r="C33" s="12" t="str">
        <f>IFERROR(INDEX(Hotspots!$B$6:$B$16,MATCH($A33,Hotspots!$A$6:$A$16,0)),"")</f>
        <v>EXAMPLE - Government building precinct, basement car parks</v>
      </c>
      <c r="D33" s="12">
        <f>IFERROR(INDEX(Hotspots!$E$6:$E$16,MATCH($A33,Hotspots!$A$6:$A$16,0)),"")</f>
        <v>15</v>
      </c>
      <c r="E33" s="12">
        <f>IFERROR(INDEX(IDF_Dubai!$B$6:$P$6,MATCH(D33,IDF_Dubai!$B$6:$P$6,1)),"")</f>
        <v>15</v>
      </c>
      <c r="F33" s="15">
        <f>IFERROR(INDEX(IDF_Dubai!$B$7:$P$13,MATCH($B33,IDF_Dubai!$A$7:$A$13,0),MATCH(E33,IDF_Dubai!$B$6:$P$6,1)),"")</f>
        <v>99.22</v>
      </c>
      <c r="G33" s="20">
        <f>IFERROR(INDEX(Hotspots!$C$6:$C$16,MATCH($A33,Hotspots!$A$6:$A$16,0)),"")</f>
        <v>8</v>
      </c>
      <c r="H33" s="15">
        <f>IFERROR(INDEX(Hotspots!$D$6:$D$16,MATCH($A33,Hotspots!$A$6:$A$16,0)),"")</f>
        <v>0.8</v>
      </c>
      <c r="I33" s="15">
        <f>IFERROR(INDEX(Assumptions!$C$15:$C$19,MATCH($B33,Assumptions!$B$15:$B$19,0)),1)</f>
        <v>1.1000000000000001</v>
      </c>
      <c r="J33" s="15">
        <f>IF(OR(H33="",I33=""),"",MIN(H33*I33,1))</f>
        <v>0.88000000000000012</v>
      </c>
      <c r="K33" s="15">
        <f>IF(OR(J33="",F33="",G33=""),"",J33*F33*G33/360)</f>
        <v>1.9403022222222224</v>
      </c>
      <c r="L33" s="15">
        <f>IFERROR(INDEX(Hotspots!$G$6:$G$16,MATCH($A33,Hotspots!$A$6:$A$16,0)),"")</f>
        <v>1.2</v>
      </c>
      <c r="M33" s="15">
        <f>IF(OR(K33="",L33=""),"",MAX(0,K33-L33))</f>
        <v>0.74030222222222242</v>
      </c>
      <c r="N33" s="21">
        <f>IF(E33="","",E33*60)</f>
        <v>900</v>
      </c>
      <c r="O33" s="15">
        <f>Assumptions!$C$7</f>
        <v>0.5</v>
      </c>
      <c r="P33" s="22">
        <f>IF(OR(M33="",N33=""),"",M33*N33*O33)</f>
        <v>333.13600000000008</v>
      </c>
      <c r="Q33" s="15">
        <f>Assumptions!$C$6</f>
        <v>1.05</v>
      </c>
      <c r="R33" s="22">
        <f>IF(P33="","",P33*Q33)</f>
        <v>349.79280000000011</v>
      </c>
      <c r="S33" s="22">
        <f>IFERROR(INDEX(Hotspots!$H$6:$H$16,MATCH($A33,Hotspots!$A$6:$A$16,0)),"")</f>
        <v>2000</v>
      </c>
      <c r="T33" s="22">
        <f>IF(OR(R33="",S33=""),"",MAX(0,R33-S33))</f>
        <v>0</v>
      </c>
      <c r="U33" s="20">
        <f>Assumptions!$C$8</f>
        <v>2</v>
      </c>
      <c r="V33" s="22">
        <f>IF(OR(T33="",U33=0),0,T33/U33)</f>
        <v>0</v>
      </c>
      <c r="W33" s="22">
        <f>Assumptions!$C$9</f>
        <v>300</v>
      </c>
      <c r="X33" s="21">
        <f>IF(OR(V33=0,W33=0),0,ROUNDUP(V33/W33,0))</f>
        <v>0</v>
      </c>
      <c r="Y33" s="22">
        <f>Assumptions!$C$10</f>
        <v>15</v>
      </c>
      <c r="Z33" s="21">
        <f>IF(OR(T33="",T33=0),0,ROUNDUP(T33/Y33,0))</f>
        <v>0</v>
      </c>
    </row>
    <row r="34" spans="1:26" ht="90" x14ac:dyDescent="0.2">
      <c r="A34" s="19" t="s">
        <v>77</v>
      </c>
      <c r="B34" s="19">
        <v>50</v>
      </c>
      <c r="C34" s="12" t="str">
        <f>IFERROR(INDEX(Hotspots!$B$6:$B$16,MATCH($A34,Hotspots!$A$6:$A$16,0)),"")</f>
        <v>EXAMPLE - Government building precinct, basement car parks</v>
      </c>
      <c r="D34" s="12">
        <f>IFERROR(INDEX(Hotspots!$E$6:$E$16,MATCH($A34,Hotspots!$A$6:$A$16,0)),"")</f>
        <v>15</v>
      </c>
      <c r="E34" s="12">
        <f>IFERROR(INDEX(IDF_Dubai!$B$6:$P$6,MATCH(D34,IDF_Dubai!$B$6:$P$6,1)),"")</f>
        <v>15</v>
      </c>
      <c r="F34" s="15">
        <f>IFERROR(INDEX(IDF_Dubai!$B$7:$P$13,MATCH($B34,IDF_Dubai!$A$7:$A$13,0),MATCH(E34,IDF_Dubai!$B$6:$P$6,1)),"")</f>
        <v>125.61</v>
      </c>
      <c r="G34" s="20">
        <f>IFERROR(INDEX(Hotspots!$C$6:$C$16,MATCH($A34,Hotspots!$A$6:$A$16,0)),"")</f>
        <v>8</v>
      </c>
      <c r="H34" s="15">
        <f>IFERROR(INDEX(Hotspots!$D$6:$D$16,MATCH($A34,Hotspots!$A$6:$A$16,0)),"")</f>
        <v>0.8</v>
      </c>
      <c r="I34" s="15">
        <f>IFERROR(INDEX(Assumptions!$C$15:$C$19,MATCH($B34,Assumptions!$B$15:$B$19,0)),1)</f>
        <v>1.2</v>
      </c>
      <c r="J34" s="15">
        <f>IF(OR(H34="",I34=""),"",MIN(H34*I34,1))</f>
        <v>0.96</v>
      </c>
      <c r="K34" s="15">
        <f>IF(OR(J34="",F34="",G34=""),"",J34*F34*G34/360)</f>
        <v>2.6796799999999998</v>
      </c>
      <c r="L34" s="15">
        <f>IFERROR(INDEX(Hotspots!$G$6:$G$16,MATCH($A34,Hotspots!$A$6:$A$16,0)),"")</f>
        <v>1.2</v>
      </c>
      <c r="M34" s="15">
        <f>IF(OR(K34="",L34=""),"",MAX(0,K34-L34))</f>
        <v>1.4796799999999999</v>
      </c>
      <c r="N34" s="21">
        <f>IF(E34="","",E34*60)</f>
        <v>900</v>
      </c>
      <c r="O34" s="15">
        <f>Assumptions!$C$7</f>
        <v>0.5</v>
      </c>
      <c r="P34" s="22">
        <f>IF(OR(M34="",N34=""),"",M34*N34*O34)</f>
        <v>665.85599999999999</v>
      </c>
      <c r="Q34" s="15">
        <f>Assumptions!$C$6</f>
        <v>1.05</v>
      </c>
      <c r="R34" s="22">
        <f>IF(P34="","",P34*Q34)</f>
        <v>699.14880000000005</v>
      </c>
      <c r="S34" s="22">
        <f>IFERROR(INDEX(Hotspots!$H$6:$H$16,MATCH($A34,Hotspots!$A$6:$A$16,0)),"")</f>
        <v>2000</v>
      </c>
      <c r="T34" s="22">
        <f>IF(OR(R34="",S34=""),"",MAX(0,R34-S34))</f>
        <v>0</v>
      </c>
      <c r="U34" s="20">
        <f>Assumptions!$C$8</f>
        <v>2</v>
      </c>
      <c r="V34" s="22">
        <f>IF(OR(T34="",U34=0),0,T34/U34)</f>
        <v>0</v>
      </c>
      <c r="W34" s="22">
        <f>Assumptions!$C$9</f>
        <v>300</v>
      </c>
      <c r="X34" s="21">
        <f>IF(OR(V34=0,W34=0),0,ROUNDUP(V34/W34,0))</f>
        <v>0</v>
      </c>
      <c r="Y34" s="22">
        <f>Assumptions!$C$10</f>
        <v>15</v>
      </c>
      <c r="Z34" s="21">
        <f>IF(OR(T34="",T34=0),0,ROUNDUP(T34/Y34,0))</f>
        <v>0</v>
      </c>
    </row>
    <row r="35" spans="1:26" ht="90" x14ac:dyDescent="0.2">
      <c r="A35" s="19" t="s">
        <v>77</v>
      </c>
      <c r="B35" s="19">
        <v>100</v>
      </c>
      <c r="C35" s="12" t="str">
        <f>IFERROR(INDEX(Hotspots!$B$6:$B$16,MATCH($A35,Hotspots!$A$6:$A$16,0)),"")</f>
        <v>EXAMPLE - Government building precinct, basement car parks</v>
      </c>
      <c r="D35" s="12">
        <f>IFERROR(INDEX(Hotspots!$E$6:$E$16,MATCH($A35,Hotspots!$A$6:$A$16,0)),"")</f>
        <v>15</v>
      </c>
      <c r="E35" s="12">
        <f>IFERROR(INDEX(IDF_Dubai!$B$6:$P$6,MATCH(D35,IDF_Dubai!$B$6:$P$6,1)),"")</f>
        <v>15</v>
      </c>
      <c r="F35" s="15">
        <f>IFERROR(INDEX(IDF_Dubai!$B$7:$P$13,MATCH($B35,IDF_Dubai!$A$7:$A$13,0),MATCH(E35,IDF_Dubai!$B$6:$P$6,1)),"")</f>
        <v>155.29</v>
      </c>
      <c r="G35" s="20">
        <f>IFERROR(INDEX(Hotspots!$C$6:$C$16,MATCH($A35,Hotspots!$A$6:$A$16,0)),"")</f>
        <v>8</v>
      </c>
      <c r="H35" s="15">
        <f>IFERROR(INDEX(Hotspots!$D$6:$D$16,MATCH($A35,Hotspots!$A$6:$A$16,0)),"")</f>
        <v>0.8</v>
      </c>
      <c r="I35" s="15">
        <f>IFERROR(INDEX(Assumptions!$C$15:$C$19,MATCH($B35,Assumptions!$B$15:$B$19,0)),1)</f>
        <v>1.25</v>
      </c>
      <c r="J35" s="15">
        <f>IF(OR(H35="",I35=""),"",MIN(H35*I35,1))</f>
        <v>1</v>
      </c>
      <c r="K35" s="15">
        <f>IF(OR(J35="",F35="",G35=""),"",J35*F35*G35/360)</f>
        <v>3.4508888888888887</v>
      </c>
      <c r="L35" s="15">
        <f>IFERROR(INDEX(Hotspots!$G$6:$G$16,MATCH($A35,Hotspots!$A$6:$A$16,0)),"")</f>
        <v>1.2</v>
      </c>
      <c r="M35" s="15">
        <f>IF(OR(K35="",L35=""),"",MAX(0,K35-L35))</f>
        <v>2.2508888888888885</v>
      </c>
      <c r="N35" s="21">
        <f>IF(E35="","",E35*60)</f>
        <v>900</v>
      </c>
      <c r="O35" s="15">
        <f>Assumptions!$C$7</f>
        <v>0.5</v>
      </c>
      <c r="P35" s="22">
        <f>IF(OR(M35="",N35=""),"",M35*N35*O35)</f>
        <v>1012.8999999999999</v>
      </c>
      <c r="Q35" s="15">
        <f>Assumptions!$C$6</f>
        <v>1.05</v>
      </c>
      <c r="R35" s="22">
        <f>IF(P35="","",P35*Q35)</f>
        <v>1063.5449999999998</v>
      </c>
      <c r="S35" s="22">
        <f>IFERROR(INDEX(Hotspots!$H$6:$H$16,MATCH($A35,Hotspots!$A$6:$A$16,0)),"")</f>
        <v>2000</v>
      </c>
      <c r="T35" s="22">
        <f>IF(OR(R35="",S35=""),"",MAX(0,R35-S35))</f>
        <v>0</v>
      </c>
      <c r="U35" s="20">
        <f>Assumptions!$C$8</f>
        <v>2</v>
      </c>
      <c r="V35" s="22">
        <f>IF(OR(T35="",U35=0),0,T35/U35)</f>
        <v>0</v>
      </c>
      <c r="W35" s="22">
        <f>Assumptions!$C$9</f>
        <v>300</v>
      </c>
      <c r="X35" s="21">
        <f>IF(OR(V35=0,W35=0),0,ROUNDUP(V35/W35,0))</f>
        <v>0</v>
      </c>
      <c r="Y35" s="22">
        <f>Assumptions!$C$10</f>
        <v>15</v>
      </c>
      <c r="Z35" s="21">
        <f>IF(OR(T35="",T35=0),0,ROUNDUP(T35/Y35,0))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3"/>
  <sheetViews>
    <sheetView zoomScaleNormal="100" workbookViewId="0"/>
  </sheetViews>
  <sheetFormatPr defaultColWidth="8.7421875" defaultRowHeight="15" x14ac:dyDescent="0.2"/>
  <cols>
    <col min="1" max="1" width="9.953125" customWidth="1"/>
    <col min="2" max="2" width="13.98828125" customWidth="1"/>
    <col min="3" max="3" width="13.046875" customWidth="1"/>
    <col min="4" max="5" width="14.9296875" customWidth="1"/>
    <col min="6" max="8" width="13.046875" customWidth="1"/>
  </cols>
  <sheetData>
    <row r="2" spans="1:8" ht="18" x14ac:dyDescent="0.2">
      <c r="B2" s="2" t="s">
        <v>105</v>
      </c>
    </row>
    <row r="3" spans="1:8" ht="27.75" customHeight="1" x14ac:dyDescent="0.2">
      <c r="B3" s="13" t="s">
        <v>106</v>
      </c>
    </row>
    <row r="5" spans="1:8" ht="43.5" customHeight="1" x14ac:dyDescent="0.2">
      <c r="A5" s="9" t="s">
        <v>82</v>
      </c>
      <c r="B5" s="9" t="s">
        <v>107</v>
      </c>
      <c r="C5" s="9" t="s">
        <v>108</v>
      </c>
      <c r="D5" s="9" t="s">
        <v>109</v>
      </c>
      <c r="E5" s="9" t="s">
        <v>110</v>
      </c>
      <c r="F5" s="9" t="s">
        <v>111</v>
      </c>
      <c r="G5" s="9" t="s">
        <v>112</v>
      </c>
      <c r="H5" s="9" t="s">
        <v>113</v>
      </c>
    </row>
    <row r="6" spans="1:8" x14ac:dyDescent="0.2">
      <c r="A6" s="14">
        <v>5</v>
      </c>
      <c r="B6" s="15">
        <f>SUMIFS(Scenario_Calc!$K$6:$K$35,Scenario_Calc!$B$6:$B$35,A6)</f>
        <v>10.893441666666666</v>
      </c>
      <c r="C6" s="15">
        <f>SUMIFS(Scenario_Calc!$M$6:$M$35,Scenario_Calc!$B$6:$B$35,A6)</f>
        <v>0</v>
      </c>
      <c r="D6" s="22">
        <f>SUMIFS(Scenario_Calc!$R$6:$R$35,Scenario_Calc!$B$6:$B$35,A6)</f>
        <v>0</v>
      </c>
      <c r="E6" s="22">
        <f>SUMIFS(Scenario_Calc!$S$6:$S$35,Scenario_Calc!$B$6:$B$35,A6)</f>
        <v>20500</v>
      </c>
      <c r="F6" s="22">
        <f>SUMIFS(Scenario_Calc!$T$6:$T$35,Scenario_Calc!$B$6:$B$35,A6)</f>
        <v>0</v>
      </c>
      <c r="G6" s="21">
        <f>SUMIFS(Scenario_Calc!$X$6:$X$35,Scenario_Calc!$B$6:$B$35,A6)</f>
        <v>0</v>
      </c>
      <c r="H6" s="21">
        <f>SUMIFS(Scenario_Calc!$Z$6:$Z$35,Scenario_Calc!$B$6:$B$35,A6)</f>
        <v>0</v>
      </c>
    </row>
    <row r="7" spans="1:8" x14ac:dyDescent="0.2">
      <c r="A7" s="14">
        <v>10</v>
      </c>
      <c r="B7" s="15">
        <f>SUMIFS(Scenario_Calc!$K$6:$K$35,Scenario_Calc!$B$6:$B$35,A7)</f>
        <v>14.223902777777777</v>
      </c>
      <c r="C7" s="15">
        <f>SUMIFS(Scenario_Calc!$M$6:$M$35,Scenario_Calc!$B$6:$B$35,A7)</f>
        <v>0.69186111111111104</v>
      </c>
      <c r="D7" s="22">
        <f>SUMIFS(Scenario_Calc!$R$6:$R$35,Scenario_Calc!$B$6:$B$35,A7)</f>
        <v>399.72449999999992</v>
      </c>
      <c r="E7" s="22">
        <f>SUMIFS(Scenario_Calc!$S$6:$S$35,Scenario_Calc!$B$6:$B$35,A7)</f>
        <v>20500</v>
      </c>
      <c r="F7" s="22">
        <f>SUMIFS(Scenario_Calc!$T$6:$T$35,Scenario_Calc!$B$6:$B$35,A7)</f>
        <v>0</v>
      </c>
      <c r="G7" s="21">
        <f>SUMIFS(Scenario_Calc!$X$6:$X$35,Scenario_Calc!$B$6:$B$35,A7)</f>
        <v>0</v>
      </c>
      <c r="H7" s="21">
        <f>SUMIFS(Scenario_Calc!$Z$6:$Z$35,Scenario_Calc!$B$6:$B$35,A7)</f>
        <v>0</v>
      </c>
    </row>
    <row r="8" spans="1:8" x14ac:dyDescent="0.2">
      <c r="A8" s="14">
        <v>25</v>
      </c>
      <c r="B8" s="15">
        <f>SUMIFS(Scenario_Calc!$K$6:$K$35,Scenario_Calc!$B$6:$B$35,A8)</f>
        <v>20.220335972222223</v>
      </c>
      <c r="C8" s="15">
        <f>SUMIFS(Scenario_Calc!$M$6:$M$35,Scenario_Calc!$B$6:$B$35,A8)</f>
        <v>4.5353026388888882</v>
      </c>
      <c r="D8" s="22">
        <f>SUMIFS(Scenario_Calc!$R$6:$R$35,Scenario_Calc!$B$6:$B$35,A8)</f>
        <v>3279.8813906249998</v>
      </c>
      <c r="E8" s="22">
        <f>SUMIFS(Scenario_Calc!$S$6:$S$35,Scenario_Calc!$B$6:$B$35,A8)</f>
        <v>20500</v>
      </c>
      <c r="F8" s="22">
        <f>SUMIFS(Scenario_Calc!$T$6:$T$35,Scenario_Calc!$B$6:$B$35,A8)</f>
        <v>354.56400000000002</v>
      </c>
      <c r="G8" s="21">
        <f>SUMIFS(Scenario_Calc!$X$6:$X$35,Scenario_Calc!$B$6:$B$35,A8)</f>
        <v>1</v>
      </c>
      <c r="H8" s="21">
        <f>SUMIFS(Scenario_Calc!$Z$6:$Z$35,Scenario_Calc!$B$6:$B$35,A8)</f>
        <v>24</v>
      </c>
    </row>
    <row r="9" spans="1:8" x14ac:dyDescent="0.2">
      <c r="A9" s="14">
        <v>50</v>
      </c>
      <c r="B9" s="15">
        <f>SUMIFS(Scenario_Calc!$K$6:$K$35,Scenario_Calc!$B$6:$B$35,A9)</f>
        <v>27.794221666666662</v>
      </c>
      <c r="C9" s="15">
        <f>SUMIFS(Scenario_Calc!$M$6:$M$35,Scenario_Calc!$B$6:$B$35,A9)</f>
        <v>11.694221666666664</v>
      </c>
      <c r="D9" s="22">
        <f>SUMIFS(Scenario_Calc!$R$6:$R$35,Scenario_Calc!$B$6:$B$35,A9)</f>
        <v>10049.993362499999</v>
      </c>
      <c r="E9" s="22">
        <f>SUMIFS(Scenario_Calc!$S$6:$S$35,Scenario_Calc!$B$6:$B$35,A9)</f>
        <v>20500</v>
      </c>
      <c r="F9" s="22">
        <f>SUMIFS(Scenario_Calc!$T$6:$T$35,Scenario_Calc!$B$6:$B$35,A9)</f>
        <v>2287.0889999999999</v>
      </c>
      <c r="G9" s="21">
        <f>SUMIFS(Scenario_Calc!$X$6:$X$35,Scenario_Calc!$B$6:$B$35,A9)</f>
        <v>5</v>
      </c>
      <c r="H9" s="21">
        <f>SUMIFS(Scenario_Calc!$Z$6:$Z$35,Scenario_Calc!$B$6:$B$35,A9)</f>
        <v>154</v>
      </c>
    </row>
    <row r="10" spans="1:8" x14ac:dyDescent="0.2">
      <c r="A10" s="14">
        <v>100</v>
      </c>
      <c r="B10" s="15">
        <f>SUMIFS(Scenario_Calc!$K$6:$K$35,Scenario_Calc!$B$6:$B$35,A10)</f>
        <v>35.451362847222221</v>
      </c>
      <c r="C10" s="15">
        <f>SUMIFS(Scenario_Calc!$M$6:$M$35,Scenario_Calc!$B$6:$B$35,A10)</f>
        <v>19.351362847222223</v>
      </c>
      <c r="D10" s="22">
        <f>SUMIFS(Scenario_Calc!$R$6:$R$35,Scenario_Calc!$B$6:$B$35,A10)</f>
        <v>17776.771523437499</v>
      </c>
      <c r="E10" s="22">
        <f>SUMIFS(Scenario_Calc!$S$6:$S$35,Scenario_Calc!$B$6:$B$35,A10)</f>
        <v>20500</v>
      </c>
      <c r="F10" s="22">
        <f>SUMIFS(Scenario_Calc!$T$6:$T$35,Scenario_Calc!$B$6:$B$35,A10)</f>
        <v>5121.9000000000015</v>
      </c>
      <c r="G10" s="21">
        <f>SUMIFS(Scenario_Calc!$X$6:$X$35,Scenario_Calc!$B$6:$B$35,A10)</f>
        <v>10</v>
      </c>
      <c r="H10" s="21">
        <f>SUMIFS(Scenario_Calc!$Z$6:$Z$35,Scenario_Calc!$B$6:$B$35,A10)</f>
        <v>342</v>
      </c>
    </row>
    <row r="13" spans="1:8" ht="30" customHeight="1" x14ac:dyDescent="0.2">
      <c r="B13" s="1" t="s">
        <v>114</v>
      </c>
      <c r="C13" s="1"/>
      <c r="D13" s="1"/>
      <c r="E13" s="1"/>
      <c r="F13" s="1"/>
      <c r="G13" s="1"/>
      <c r="H13" s="1"/>
    </row>
  </sheetData>
  <mergeCells count="1"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Assumptions</vt:lpstr>
      <vt:lpstr>IDF_Dubai</vt:lpstr>
      <vt:lpstr>Hotspots</vt:lpstr>
      <vt:lpstr>Scenario_Calc</vt:lpstr>
      <vt:lpstr>Fleet_Summary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2026-09-18T19:52:53Z</dcterms:created>
  <dcterms:modified xsi:type="dcterms:W3CDTF">2026-09-18T19:52:53Z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d1599d-e0ea-4a21-b8cf-083bd6eb49ee_Enabled">
    <vt:lpwstr>true</vt:lpwstr>
  </property>
  <property fmtid="{D5CDD505-2E9C-101B-9397-08002B2CF9AE}" pid="3" name="MSIP_Label_93d1599d-e0ea-4a21-b8cf-083bd6eb49ee_SetDate">
    <vt:lpwstr>2026-09-18T20:21:03Z</vt:lpwstr>
  </property>
  <property fmtid="{D5CDD505-2E9C-101B-9397-08002B2CF9AE}" pid="4" name="MSIP_Label_93d1599d-e0ea-4a21-b8cf-083bd6eb49ee_Method">
    <vt:lpwstr>Privileged</vt:lpwstr>
  </property>
  <property fmtid="{D5CDD505-2E9C-101B-9397-08002B2CF9AE}" pid="5" name="MSIP_Label_93d1599d-e0ea-4a21-b8cf-083bd6eb49ee_Name">
    <vt:lpwstr>93d1599d-e0ea-4a21-b8cf-083bd6eb49ee</vt:lpwstr>
  </property>
  <property fmtid="{D5CDD505-2E9C-101B-9397-08002B2CF9AE}" pid="6" name="MSIP_Label_93d1599d-e0ea-4a21-b8cf-083bd6eb49ee_SiteId">
    <vt:lpwstr>ab98858a-ce1a-4fea-a19b-e31ea792a488</vt:lpwstr>
  </property>
  <property fmtid="{D5CDD505-2E9C-101B-9397-08002B2CF9AE}" pid="7" name="MSIP_Label_93d1599d-e0ea-4a21-b8cf-083bd6eb49ee_ActionId">
    <vt:lpwstr>7bb9cba3-22f4-43cb-94f6-1a8acc39adbd</vt:lpwstr>
  </property>
  <property fmtid="{D5CDD505-2E9C-101B-9397-08002B2CF9AE}" pid="8" name="MSIP_Label_93d1599d-e0ea-4a21-b8cf-083bd6eb49ee_ContentBits">
    <vt:lpwstr>0</vt:lpwstr>
  </property>
  <property fmtid="{D5CDD505-2E9C-101B-9397-08002B2CF9AE}" pid="9" name="MSIP_Label_93d1599d-e0ea-4a21-b8cf-083bd6eb49ee_Tag">
    <vt:lpwstr>60, 0, 1, 1</vt:lpwstr>
  </property>
</Properties>
</file>