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kearney.sharepoint.com/sites/cbl005433201/Shared Documents/General/02. Project/01. Workstreams/07. Hotspot inventory &amp; budgets/03. Working Excels/"/>
    </mc:Choice>
  </mc:AlternateContent>
  <xr:revisionPtr revIDLastSave="72" documentId="11_A53EA4592F46B1E23359570EB73535988BE5A969" xr6:coauthVersionLast="47" xr6:coauthVersionMax="47" xr10:uidLastSave="{614FC511-755E-4F83-9BB4-2A64497EB3A8}"/>
  <bookViews>
    <workbookView xWindow="-120" yWindow="-120" windowWidth="29040" windowHeight="17520" tabRatio="500" activeTab="1" xr2:uid="{00000000-000D-0000-FFFF-FFFF00000000}"/>
  </bookViews>
  <sheets>
    <sheet name="Exec Summary" sheetId="1" r:id="rId1"/>
    <sheet name="Analysis" sheetId="2" r:id="rId2"/>
  </sheets>
  <definedNames>
    <definedName name="_xlnm._FilterDatabase" localSheetId="0" hidden="1">'Exec Summary'!$A$91:$I$691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91" i="1" l="1"/>
  <c r="H691" i="1"/>
  <c r="G691" i="1"/>
  <c r="F691" i="1"/>
  <c r="E691" i="1"/>
  <c r="D691" i="1"/>
  <c r="C691" i="1"/>
  <c r="B691" i="1"/>
  <c r="A691" i="1"/>
  <c r="I690" i="1"/>
  <c r="H690" i="1"/>
  <c r="G690" i="1"/>
  <c r="F690" i="1"/>
  <c r="E690" i="1"/>
  <c r="D690" i="1"/>
  <c r="C690" i="1"/>
  <c r="B690" i="1"/>
  <c r="A690" i="1"/>
  <c r="I689" i="1"/>
  <c r="H689" i="1"/>
  <c r="G689" i="1"/>
  <c r="F689" i="1"/>
  <c r="E689" i="1"/>
  <c r="D689" i="1"/>
  <c r="C689" i="1"/>
  <c r="B689" i="1"/>
  <c r="A689" i="1"/>
  <c r="I688" i="1"/>
  <c r="H688" i="1"/>
  <c r="G688" i="1"/>
  <c r="F688" i="1"/>
  <c r="E688" i="1"/>
  <c r="D688" i="1"/>
  <c r="C688" i="1"/>
  <c r="B688" i="1"/>
  <c r="A688" i="1"/>
  <c r="I687" i="1"/>
  <c r="H687" i="1"/>
  <c r="G687" i="1"/>
  <c r="F687" i="1"/>
  <c r="E687" i="1"/>
  <c r="D687" i="1"/>
  <c r="C687" i="1"/>
  <c r="B687" i="1"/>
  <c r="A687" i="1"/>
  <c r="I686" i="1"/>
  <c r="H686" i="1"/>
  <c r="G686" i="1"/>
  <c r="F686" i="1"/>
  <c r="E686" i="1"/>
  <c r="D686" i="1"/>
  <c r="C686" i="1"/>
  <c r="B686" i="1"/>
  <c r="A686" i="1"/>
  <c r="I685" i="1"/>
  <c r="H685" i="1"/>
  <c r="G685" i="1"/>
  <c r="F685" i="1"/>
  <c r="E685" i="1"/>
  <c r="D685" i="1"/>
  <c r="C685" i="1"/>
  <c r="B685" i="1"/>
  <c r="A685" i="1"/>
  <c r="I684" i="1"/>
  <c r="H684" i="1"/>
  <c r="G684" i="1"/>
  <c r="F684" i="1"/>
  <c r="E684" i="1"/>
  <c r="D684" i="1"/>
  <c r="C684" i="1"/>
  <c r="B684" i="1"/>
  <c r="A684" i="1"/>
  <c r="I683" i="1"/>
  <c r="H683" i="1"/>
  <c r="G683" i="1"/>
  <c r="F683" i="1"/>
  <c r="E683" i="1"/>
  <c r="D683" i="1"/>
  <c r="C683" i="1"/>
  <c r="B683" i="1"/>
  <c r="A683" i="1"/>
  <c r="I682" i="1"/>
  <c r="H682" i="1"/>
  <c r="G682" i="1"/>
  <c r="F682" i="1"/>
  <c r="E682" i="1"/>
  <c r="D682" i="1"/>
  <c r="C682" i="1"/>
  <c r="B682" i="1"/>
  <c r="A682" i="1"/>
  <c r="I681" i="1"/>
  <c r="H681" i="1"/>
  <c r="G681" i="1"/>
  <c r="F681" i="1"/>
  <c r="E681" i="1"/>
  <c r="D681" i="1"/>
  <c r="C681" i="1"/>
  <c r="B681" i="1"/>
  <c r="A681" i="1"/>
  <c r="I680" i="1"/>
  <c r="H680" i="1"/>
  <c r="G680" i="1"/>
  <c r="F680" i="1"/>
  <c r="E680" i="1"/>
  <c r="D680" i="1"/>
  <c r="C680" i="1"/>
  <c r="B680" i="1"/>
  <c r="A680" i="1"/>
  <c r="I679" i="1"/>
  <c r="H679" i="1"/>
  <c r="G679" i="1"/>
  <c r="F679" i="1"/>
  <c r="E679" i="1"/>
  <c r="D679" i="1"/>
  <c r="C679" i="1"/>
  <c r="B679" i="1"/>
  <c r="A679" i="1"/>
  <c r="I678" i="1"/>
  <c r="H678" i="1"/>
  <c r="G678" i="1"/>
  <c r="F678" i="1"/>
  <c r="E678" i="1"/>
  <c r="D678" i="1"/>
  <c r="C678" i="1"/>
  <c r="B678" i="1"/>
  <c r="A678" i="1"/>
  <c r="I677" i="1"/>
  <c r="H677" i="1"/>
  <c r="G677" i="1"/>
  <c r="F677" i="1"/>
  <c r="E677" i="1"/>
  <c r="D677" i="1"/>
  <c r="C677" i="1"/>
  <c r="B677" i="1"/>
  <c r="A677" i="1"/>
  <c r="I676" i="1"/>
  <c r="H676" i="1"/>
  <c r="G676" i="1"/>
  <c r="F676" i="1"/>
  <c r="E676" i="1"/>
  <c r="D676" i="1"/>
  <c r="C676" i="1"/>
  <c r="B676" i="1"/>
  <c r="A676" i="1"/>
  <c r="I675" i="1"/>
  <c r="H675" i="1"/>
  <c r="G675" i="1"/>
  <c r="F675" i="1"/>
  <c r="E675" i="1"/>
  <c r="D675" i="1"/>
  <c r="C675" i="1"/>
  <c r="B675" i="1"/>
  <c r="A675" i="1"/>
  <c r="I674" i="1"/>
  <c r="H674" i="1"/>
  <c r="G674" i="1"/>
  <c r="F674" i="1"/>
  <c r="E674" i="1"/>
  <c r="D674" i="1"/>
  <c r="C674" i="1"/>
  <c r="B674" i="1"/>
  <c r="A674" i="1"/>
  <c r="I673" i="1"/>
  <c r="H673" i="1"/>
  <c r="G673" i="1"/>
  <c r="F673" i="1"/>
  <c r="E673" i="1"/>
  <c r="D673" i="1"/>
  <c r="C673" i="1"/>
  <c r="B673" i="1"/>
  <c r="A673" i="1"/>
  <c r="I672" i="1"/>
  <c r="H672" i="1"/>
  <c r="G672" i="1"/>
  <c r="F672" i="1"/>
  <c r="E672" i="1"/>
  <c r="D672" i="1"/>
  <c r="C672" i="1"/>
  <c r="B672" i="1"/>
  <c r="A672" i="1"/>
  <c r="I671" i="1"/>
  <c r="H671" i="1"/>
  <c r="G671" i="1"/>
  <c r="F671" i="1"/>
  <c r="E671" i="1"/>
  <c r="D671" i="1"/>
  <c r="C671" i="1"/>
  <c r="B671" i="1"/>
  <c r="A671" i="1"/>
  <c r="I670" i="1"/>
  <c r="H670" i="1"/>
  <c r="G670" i="1"/>
  <c r="F670" i="1"/>
  <c r="E670" i="1"/>
  <c r="D670" i="1"/>
  <c r="C670" i="1"/>
  <c r="B670" i="1"/>
  <c r="A670" i="1"/>
  <c r="I669" i="1"/>
  <c r="H669" i="1"/>
  <c r="G669" i="1"/>
  <c r="F669" i="1"/>
  <c r="E669" i="1"/>
  <c r="D669" i="1"/>
  <c r="C669" i="1"/>
  <c r="B669" i="1"/>
  <c r="A669" i="1"/>
  <c r="I668" i="1"/>
  <c r="H668" i="1"/>
  <c r="G668" i="1"/>
  <c r="F668" i="1"/>
  <c r="E668" i="1"/>
  <c r="D668" i="1"/>
  <c r="C668" i="1"/>
  <c r="B668" i="1"/>
  <c r="A668" i="1"/>
  <c r="I667" i="1"/>
  <c r="H667" i="1"/>
  <c r="G667" i="1"/>
  <c r="F667" i="1"/>
  <c r="E667" i="1"/>
  <c r="D667" i="1"/>
  <c r="C667" i="1"/>
  <c r="B667" i="1"/>
  <c r="A667" i="1"/>
  <c r="I666" i="1"/>
  <c r="H666" i="1"/>
  <c r="G666" i="1"/>
  <c r="F666" i="1"/>
  <c r="E666" i="1"/>
  <c r="D666" i="1"/>
  <c r="C666" i="1"/>
  <c r="B666" i="1"/>
  <c r="A666" i="1"/>
  <c r="I665" i="1"/>
  <c r="H665" i="1"/>
  <c r="G665" i="1"/>
  <c r="F665" i="1"/>
  <c r="E665" i="1"/>
  <c r="D665" i="1"/>
  <c r="C665" i="1"/>
  <c r="B665" i="1"/>
  <c r="A665" i="1"/>
  <c r="I664" i="1"/>
  <c r="H664" i="1"/>
  <c r="G664" i="1"/>
  <c r="F664" i="1"/>
  <c r="E664" i="1"/>
  <c r="D664" i="1"/>
  <c r="C664" i="1"/>
  <c r="B664" i="1"/>
  <c r="A664" i="1"/>
  <c r="I663" i="1"/>
  <c r="H663" i="1"/>
  <c r="G663" i="1"/>
  <c r="F663" i="1"/>
  <c r="E663" i="1"/>
  <c r="D663" i="1"/>
  <c r="C663" i="1"/>
  <c r="B663" i="1"/>
  <c r="A663" i="1"/>
  <c r="I662" i="1"/>
  <c r="H662" i="1"/>
  <c r="G662" i="1"/>
  <c r="F662" i="1"/>
  <c r="E662" i="1"/>
  <c r="D662" i="1"/>
  <c r="C662" i="1"/>
  <c r="B662" i="1"/>
  <c r="A662" i="1"/>
  <c r="I661" i="1"/>
  <c r="H661" i="1"/>
  <c r="G661" i="1"/>
  <c r="F661" i="1"/>
  <c r="E661" i="1"/>
  <c r="D661" i="1"/>
  <c r="C661" i="1"/>
  <c r="B661" i="1"/>
  <c r="A661" i="1"/>
  <c r="I660" i="1"/>
  <c r="H660" i="1"/>
  <c r="G660" i="1"/>
  <c r="F660" i="1"/>
  <c r="E660" i="1"/>
  <c r="D660" i="1"/>
  <c r="C660" i="1"/>
  <c r="B660" i="1"/>
  <c r="A660" i="1"/>
  <c r="I659" i="1"/>
  <c r="H659" i="1"/>
  <c r="G659" i="1"/>
  <c r="F659" i="1"/>
  <c r="E659" i="1"/>
  <c r="D659" i="1"/>
  <c r="C659" i="1"/>
  <c r="B659" i="1"/>
  <c r="A659" i="1"/>
  <c r="I658" i="1"/>
  <c r="H658" i="1"/>
  <c r="G658" i="1"/>
  <c r="F658" i="1"/>
  <c r="E658" i="1"/>
  <c r="D658" i="1"/>
  <c r="C658" i="1"/>
  <c r="B658" i="1"/>
  <c r="A658" i="1"/>
  <c r="I657" i="1"/>
  <c r="H657" i="1"/>
  <c r="G657" i="1"/>
  <c r="F657" i="1"/>
  <c r="E657" i="1"/>
  <c r="D657" i="1"/>
  <c r="C657" i="1"/>
  <c r="B657" i="1"/>
  <c r="A657" i="1"/>
  <c r="I656" i="1"/>
  <c r="H656" i="1"/>
  <c r="G656" i="1"/>
  <c r="F656" i="1"/>
  <c r="E656" i="1"/>
  <c r="D656" i="1"/>
  <c r="C656" i="1"/>
  <c r="B656" i="1"/>
  <c r="A656" i="1"/>
  <c r="I655" i="1"/>
  <c r="H655" i="1"/>
  <c r="G655" i="1"/>
  <c r="F655" i="1"/>
  <c r="E655" i="1"/>
  <c r="D655" i="1"/>
  <c r="C655" i="1"/>
  <c r="B655" i="1"/>
  <c r="A655" i="1"/>
  <c r="I654" i="1"/>
  <c r="H654" i="1"/>
  <c r="G654" i="1"/>
  <c r="F654" i="1"/>
  <c r="E654" i="1"/>
  <c r="D654" i="1"/>
  <c r="C654" i="1"/>
  <c r="B654" i="1"/>
  <c r="A654" i="1"/>
  <c r="I653" i="1"/>
  <c r="H653" i="1"/>
  <c r="G653" i="1"/>
  <c r="F653" i="1"/>
  <c r="E653" i="1"/>
  <c r="D653" i="1"/>
  <c r="C653" i="1"/>
  <c r="B653" i="1"/>
  <c r="A653" i="1"/>
  <c r="I652" i="1"/>
  <c r="H652" i="1"/>
  <c r="G652" i="1"/>
  <c r="F652" i="1"/>
  <c r="E652" i="1"/>
  <c r="D652" i="1"/>
  <c r="C652" i="1"/>
  <c r="B652" i="1"/>
  <c r="A652" i="1"/>
  <c r="I651" i="1"/>
  <c r="H651" i="1"/>
  <c r="G651" i="1"/>
  <c r="F651" i="1"/>
  <c r="E651" i="1"/>
  <c r="D651" i="1"/>
  <c r="C651" i="1"/>
  <c r="B651" i="1"/>
  <c r="A651" i="1"/>
  <c r="I650" i="1"/>
  <c r="H650" i="1"/>
  <c r="G650" i="1"/>
  <c r="F650" i="1"/>
  <c r="E650" i="1"/>
  <c r="D650" i="1"/>
  <c r="C650" i="1"/>
  <c r="B650" i="1"/>
  <c r="A650" i="1"/>
  <c r="I649" i="1"/>
  <c r="H649" i="1"/>
  <c r="G649" i="1"/>
  <c r="F649" i="1"/>
  <c r="E649" i="1"/>
  <c r="D649" i="1"/>
  <c r="C649" i="1"/>
  <c r="B649" i="1"/>
  <c r="A649" i="1"/>
  <c r="I648" i="1"/>
  <c r="H648" i="1"/>
  <c r="G648" i="1"/>
  <c r="F648" i="1"/>
  <c r="E648" i="1"/>
  <c r="D648" i="1"/>
  <c r="C648" i="1"/>
  <c r="B648" i="1"/>
  <c r="A648" i="1"/>
  <c r="I647" i="1"/>
  <c r="H647" i="1"/>
  <c r="G647" i="1"/>
  <c r="F647" i="1"/>
  <c r="E647" i="1"/>
  <c r="D647" i="1"/>
  <c r="C647" i="1"/>
  <c r="B647" i="1"/>
  <c r="A647" i="1"/>
  <c r="I646" i="1"/>
  <c r="H646" i="1"/>
  <c r="G646" i="1"/>
  <c r="F646" i="1"/>
  <c r="E646" i="1"/>
  <c r="D646" i="1"/>
  <c r="C646" i="1"/>
  <c r="B646" i="1"/>
  <c r="A646" i="1"/>
  <c r="I645" i="1"/>
  <c r="H645" i="1"/>
  <c r="G645" i="1"/>
  <c r="F645" i="1"/>
  <c r="E645" i="1"/>
  <c r="D645" i="1"/>
  <c r="C645" i="1"/>
  <c r="B645" i="1"/>
  <c r="A645" i="1"/>
  <c r="I644" i="1"/>
  <c r="H644" i="1"/>
  <c r="G644" i="1"/>
  <c r="F644" i="1"/>
  <c r="E644" i="1"/>
  <c r="D644" i="1"/>
  <c r="C644" i="1"/>
  <c r="B644" i="1"/>
  <c r="A644" i="1"/>
  <c r="I643" i="1"/>
  <c r="H643" i="1"/>
  <c r="G643" i="1"/>
  <c r="F643" i="1"/>
  <c r="E643" i="1"/>
  <c r="D643" i="1"/>
  <c r="C643" i="1"/>
  <c r="B643" i="1"/>
  <c r="A643" i="1"/>
  <c r="I642" i="1"/>
  <c r="H642" i="1"/>
  <c r="G642" i="1"/>
  <c r="F642" i="1"/>
  <c r="E642" i="1"/>
  <c r="D642" i="1"/>
  <c r="C642" i="1"/>
  <c r="B642" i="1"/>
  <c r="A642" i="1"/>
  <c r="I641" i="1"/>
  <c r="H641" i="1"/>
  <c r="G641" i="1"/>
  <c r="F641" i="1"/>
  <c r="E641" i="1"/>
  <c r="D641" i="1"/>
  <c r="C641" i="1"/>
  <c r="B641" i="1"/>
  <c r="A641" i="1"/>
  <c r="I640" i="1"/>
  <c r="H640" i="1"/>
  <c r="G640" i="1"/>
  <c r="F640" i="1"/>
  <c r="E640" i="1"/>
  <c r="D640" i="1"/>
  <c r="C640" i="1"/>
  <c r="B640" i="1"/>
  <c r="A640" i="1"/>
  <c r="I639" i="1"/>
  <c r="H639" i="1"/>
  <c r="G639" i="1"/>
  <c r="F639" i="1"/>
  <c r="E639" i="1"/>
  <c r="D639" i="1"/>
  <c r="C639" i="1"/>
  <c r="B639" i="1"/>
  <c r="A639" i="1"/>
  <c r="I638" i="1"/>
  <c r="H638" i="1"/>
  <c r="G638" i="1"/>
  <c r="F638" i="1"/>
  <c r="E638" i="1"/>
  <c r="D638" i="1"/>
  <c r="C638" i="1"/>
  <c r="B638" i="1"/>
  <c r="A638" i="1"/>
  <c r="I637" i="1"/>
  <c r="H637" i="1"/>
  <c r="G637" i="1"/>
  <c r="F637" i="1"/>
  <c r="E637" i="1"/>
  <c r="D637" i="1"/>
  <c r="C637" i="1"/>
  <c r="B637" i="1"/>
  <c r="A637" i="1"/>
  <c r="I636" i="1"/>
  <c r="H636" i="1"/>
  <c r="G636" i="1"/>
  <c r="F636" i="1"/>
  <c r="E636" i="1"/>
  <c r="D636" i="1"/>
  <c r="C636" i="1"/>
  <c r="B636" i="1"/>
  <c r="A636" i="1"/>
  <c r="I635" i="1"/>
  <c r="H635" i="1"/>
  <c r="G635" i="1"/>
  <c r="F635" i="1"/>
  <c r="E635" i="1"/>
  <c r="D635" i="1"/>
  <c r="C635" i="1"/>
  <c r="B635" i="1"/>
  <c r="A635" i="1"/>
  <c r="I634" i="1"/>
  <c r="H634" i="1"/>
  <c r="G634" i="1"/>
  <c r="F634" i="1"/>
  <c r="E634" i="1"/>
  <c r="D634" i="1"/>
  <c r="C634" i="1"/>
  <c r="B634" i="1"/>
  <c r="A634" i="1"/>
  <c r="I633" i="1"/>
  <c r="H633" i="1"/>
  <c r="G633" i="1"/>
  <c r="F633" i="1"/>
  <c r="E633" i="1"/>
  <c r="D633" i="1"/>
  <c r="C633" i="1"/>
  <c r="B633" i="1"/>
  <c r="A633" i="1"/>
  <c r="I632" i="1"/>
  <c r="H632" i="1"/>
  <c r="G632" i="1"/>
  <c r="F632" i="1"/>
  <c r="E632" i="1"/>
  <c r="D632" i="1"/>
  <c r="C632" i="1"/>
  <c r="B632" i="1"/>
  <c r="A632" i="1"/>
  <c r="I631" i="1"/>
  <c r="H631" i="1"/>
  <c r="G631" i="1"/>
  <c r="F631" i="1"/>
  <c r="E631" i="1"/>
  <c r="D631" i="1"/>
  <c r="C631" i="1"/>
  <c r="B631" i="1"/>
  <c r="A631" i="1"/>
  <c r="I630" i="1"/>
  <c r="H630" i="1"/>
  <c r="G630" i="1"/>
  <c r="F630" i="1"/>
  <c r="E630" i="1"/>
  <c r="D630" i="1"/>
  <c r="C630" i="1"/>
  <c r="B630" i="1"/>
  <c r="A630" i="1"/>
  <c r="I629" i="1"/>
  <c r="H629" i="1"/>
  <c r="G629" i="1"/>
  <c r="F629" i="1"/>
  <c r="E629" i="1"/>
  <c r="D629" i="1"/>
  <c r="C629" i="1"/>
  <c r="B629" i="1"/>
  <c r="A629" i="1"/>
  <c r="I628" i="1"/>
  <c r="H628" i="1"/>
  <c r="G628" i="1"/>
  <c r="F628" i="1"/>
  <c r="E628" i="1"/>
  <c r="D628" i="1"/>
  <c r="C628" i="1"/>
  <c r="B628" i="1"/>
  <c r="A628" i="1"/>
  <c r="I627" i="1"/>
  <c r="H627" i="1"/>
  <c r="G627" i="1"/>
  <c r="F627" i="1"/>
  <c r="E627" i="1"/>
  <c r="D627" i="1"/>
  <c r="C627" i="1"/>
  <c r="B627" i="1"/>
  <c r="A627" i="1"/>
  <c r="I626" i="1"/>
  <c r="H626" i="1"/>
  <c r="G626" i="1"/>
  <c r="F626" i="1"/>
  <c r="E626" i="1"/>
  <c r="D626" i="1"/>
  <c r="C626" i="1"/>
  <c r="B626" i="1"/>
  <c r="A626" i="1"/>
  <c r="I625" i="1"/>
  <c r="H625" i="1"/>
  <c r="G625" i="1"/>
  <c r="F625" i="1"/>
  <c r="E625" i="1"/>
  <c r="D625" i="1"/>
  <c r="C625" i="1"/>
  <c r="B625" i="1"/>
  <c r="A625" i="1"/>
  <c r="I624" i="1"/>
  <c r="H624" i="1"/>
  <c r="G624" i="1"/>
  <c r="F624" i="1"/>
  <c r="E624" i="1"/>
  <c r="D624" i="1"/>
  <c r="C624" i="1"/>
  <c r="B624" i="1"/>
  <c r="A624" i="1"/>
  <c r="I623" i="1"/>
  <c r="H623" i="1"/>
  <c r="G623" i="1"/>
  <c r="F623" i="1"/>
  <c r="E623" i="1"/>
  <c r="D623" i="1"/>
  <c r="C623" i="1"/>
  <c r="B623" i="1"/>
  <c r="A623" i="1"/>
  <c r="I622" i="1"/>
  <c r="H622" i="1"/>
  <c r="G622" i="1"/>
  <c r="F622" i="1"/>
  <c r="E622" i="1"/>
  <c r="D622" i="1"/>
  <c r="C622" i="1"/>
  <c r="B622" i="1"/>
  <c r="A622" i="1"/>
  <c r="I621" i="1"/>
  <c r="H621" i="1"/>
  <c r="G621" i="1"/>
  <c r="F621" i="1"/>
  <c r="E621" i="1"/>
  <c r="D621" i="1"/>
  <c r="C621" i="1"/>
  <c r="B621" i="1"/>
  <c r="A621" i="1"/>
  <c r="I620" i="1"/>
  <c r="H620" i="1"/>
  <c r="G620" i="1"/>
  <c r="F620" i="1"/>
  <c r="E620" i="1"/>
  <c r="D620" i="1"/>
  <c r="C620" i="1"/>
  <c r="B620" i="1"/>
  <c r="A620" i="1"/>
  <c r="I619" i="1"/>
  <c r="H619" i="1"/>
  <c r="G619" i="1"/>
  <c r="F619" i="1"/>
  <c r="E619" i="1"/>
  <c r="D619" i="1"/>
  <c r="C619" i="1"/>
  <c r="B619" i="1"/>
  <c r="A619" i="1"/>
  <c r="I618" i="1"/>
  <c r="H618" i="1"/>
  <c r="G618" i="1"/>
  <c r="F618" i="1"/>
  <c r="E618" i="1"/>
  <c r="D618" i="1"/>
  <c r="C618" i="1"/>
  <c r="B618" i="1"/>
  <c r="A618" i="1"/>
  <c r="I617" i="1"/>
  <c r="H617" i="1"/>
  <c r="G617" i="1"/>
  <c r="F617" i="1"/>
  <c r="E617" i="1"/>
  <c r="D617" i="1"/>
  <c r="C617" i="1"/>
  <c r="B617" i="1"/>
  <c r="A617" i="1"/>
  <c r="I616" i="1"/>
  <c r="H616" i="1"/>
  <c r="G616" i="1"/>
  <c r="F616" i="1"/>
  <c r="E616" i="1"/>
  <c r="D616" i="1"/>
  <c r="C616" i="1"/>
  <c r="B616" i="1"/>
  <c r="A616" i="1"/>
  <c r="I615" i="1"/>
  <c r="H615" i="1"/>
  <c r="G615" i="1"/>
  <c r="F615" i="1"/>
  <c r="E615" i="1"/>
  <c r="D615" i="1"/>
  <c r="C615" i="1"/>
  <c r="B615" i="1"/>
  <c r="A615" i="1"/>
  <c r="I614" i="1"/>
  <c r="H614" i="1"/>
  <c r="G614" i="1"/>
  <c r="F614" i="1"/>
  <c r="E614" i="1"/>
  <c r="D614" i="1"/>
  <c r="C614" i="1"/>
  <c r="B614" i="1"/>
  <c r="A614" i="1"/>
  <c r="I613" i="1"/>
  <c r="H613" i="1"/>
  <c r="G613" i="1"/>
  <c r="F613" i="1"/>
  <c r="E613" i="1"/>
  <c r="D613" i="1"/>
  <c r="C613" i="1"/>
  <c r="B613" i="1"/>
  <c r="A613" i="1"/>
  <c r="I612" i="1"/>
  <c r="H612" i="1"/>
  <c r="G612" i="1"/>
  <c r="F612" i="1"/>
  <c r="E612" i="1"/>
  <c r="D612" i="1"/>
  <c r="C612" i="1"/>
  <c r="B612" i="1"/>
  <c r="A612" i="1"/>
  <c r="I611" i="1"/>
  <c r="H611" i="1"/>
  <c r="G611" i="1"/>
  <c r="F611" i="1"/>
  <c r="E611" i="1"/>
  <c r="D611" i="1"/>
  <c r="C611" i="1"/>
  <c r="B611" i="1"/>
  <c r="A611" i="1"/>
  <c r="I610" i="1"/>
  <c r="H610" i="1"/>
  <c r="G610" i="1"/>
  <c r="F610" i="1"/>
  <c r="E610" i="1"/>
  <c r="D610" i="1"/>
  <c r="C610" i="1"/>
  <c r="B610" i="1"/>
  <c r="A610" i="1"/>
  <c r="I609" i="1"/>
  <c r="H609" i="1"/>
  <c r="G609" i="1"/>
  <c r="F609" i="1"/>
  <c r="E609" i="1"/>
  <c r="D609" i="1"/>
  <c r="C609" i="1"/>
  <c r="B609" i="1"/>
  <c r="A609" i="1"/>
  <c r="I608" i="1"/>
  <c r="H608" i="1"/>
  <c r="G608" i="1"/>
  <c r="F608" i="1"/>
  <c r="E608" i="1"/>
  <c r="D608" i="1"/>
  <c r="C608" i="1"/>
  <c r="B608" i="1"/>
  <c r="A608" i="1"/>
  <c r="I607" i="1"/>
  <c r="H607" i="1"/>
  <c r="G607" i="1"/>
  <c r="F607" i="1"/>
  <c r="E607" i="1"/>
  <c r="D607" i="1"/>
  <c r="C607" i="1"/>
  <c r="B607" i="1"/>
  <c r="A607" i="1"/>
  <c r="I606" i="1"/>
  <c r="H606" i="1"/>
  <c r="G606" i="1"/>
  <c r="F606" i="1"/>
  <c r="E606" i="1"/>
  <c r="D606" i="1"/>
  <c r="C606" i="1"/>
  <c r="B606" i="1"/>
  <c r="A606" i="1"/>
  <c r="I605" i="1"/>
  <c r="H605" i="1"/>
  <c r="G605" i="1"/>
  <c r="F605" i="1"/>
  <c r="E605" i="1"/>
  <c r="D605" i="1"/>
  <c r="C605" i="1"/>
  <c r="B605" i="1"/>
  <c r="A605" i="1"/>
  <c r="I604" i="1"/>
  <c r="H604" i="1"/>
  <c r="G604" i="1"/>
  <c r="F604" i="1"/>
  <c r="E604" i="1"/>
  <c r="D604" i="1"/>
  <c r="C604" i="1"/>
  <c r="B604" i="1"/>
  <c r="A604" i="1"/>
  <c r="I603" i="1"/>
  <c r="H603" i="1"/>
  <c r="G603" i="1"/>
  <c r="F603" i="1"/>
  <c r="E603" i="1"/>
  <c r="D603" i="1"/>
  <c r="C603" i="1"/>
  <c r="B603" i="1"/>
  <c r="A603" i="1"/>
  <c r="I602" i="1"/>
  <c r="H602" i="1"/>
  <c r="G602" i="1"/>
  <c r="F602" i="1"/>
  <c r="E602" i="1"/>
  <c r="D602" i="1"/>
  <c r="C602" i="1"/>
  <c r="B602" i="1"/>
  <c r="A602" i="1"/>
  <c r="I601" i="1"/>
  <c r="H601" i="1"/>
  <c r="G601" i="1"/>
  <c r="F601" i="1"/>
  <c r="E601" i="1"/>
  <c r="D601" i="1"/>
  <c r="C601" i="1"/>
  <c r="B601" i="1"/>
  <c r="A601" i="1"/>
  <c r="I600" i="1"/>
  <c r="H600" i="1"/>
  <c r="G600" i="1"/>
  <c r="F600" i="1"/>
  <c r="E600" i="1"/>
  <c r="D600" i="1"/>
  <c r="C600" i="1"/>
  <c r="B600" i="1"/>
  <c r="A600" i="1"/>
  <c r="I599" i="1"/>
  <c r="H599" i="1"/>
  <c r="G599" i="1"/>
  <c r="F599" i="1"/>
  <c r="E599" i="1"/>
  <c r="D599" i="1"/>
  <c r="C599" i="1"/>
  <c r="B599" i="1"/>
  <c r="A599" i="1"/>
  <c r="I598" i="1"/>
  <c r="H598" i="1"/>
  <c r="G598" i="1"/>
  <c r="F598" i="1"/>
  <c r="E598" i="1"/>
  <c r="D598" i="1"/>
  <c r="C598" i="1"/>
  <c r="B598" i="1"/>
  <c r="A598" i="1"/>
  <c r="I597" i="1"/>
  <c r="H597" i="1"/>
  <c r="G597" i="1"/>
  <c r="F597" i="1"/>
  <c r="E597" i="1"/>
  <c r="D597" i="1"/>
  <c r="C597" i="1"/>
  <c r="B597" i="1"/>
  <c r="A597" i="1"/>
  <c r="I596" i="1"/>
  <c r="H596" i="1"/>
  <c r="G596" i="1"/>
  <c r="F596" i="1"/>
  <c r="E596" i="1"/>
  <c r="D596" i="1"/>
  <c r="C596" i="1"/>
  <c r="B596" i="1"/>
  <c r="A596" i="1"/>
  <c r="I595" i="1"/>
  <c r="H595" i="1"/>
  <c r="G595" i="1"/>
  <c r="F595" i="1"/>
  <c r="E595" i="1"/>
  <c r="D595" i="1"/>
  <c r="C595" i="1"/>
  <c r="B595" i="1"/>
  <c r="A595" i="1"/>
  <c r="I594" i="1"/>
  <c r="H594" i="1"/>
  <c r="G594" i="1"/>
  <c r="F594" i="1"/>
  <c r="E594" i="1"/>
  <c r="D594" i="1"/>
  <c r="C594" i="1"/>
  <c r="B594" i="1"/>
  <c r="A594" i="1"/>
  <c r="I593" i="1"/>
  <c r="H593" i="1"/>
  <c r="G593" i="1"/>
  <c r="F593" i="1"/>
  <c r="E593" i="1"/>
  <c r="D593" i="1"/>
  <c r="C593" i="1"/>
  <c r="B593" i="1"/>
  <c r="A593" i="1"/>
  <c r="I592" i="1"/>
  <c r="H592" i="1"/>
  <c r="G592" i="1"/>
  <c r="F592" i="1"/>
  <c r="E592" i="1"/>
  <c r="D592" i="1"/>
  <c r="C592" i="1"/>
  <c r="B592" i="1"/>
  <c r="A592" i="1"/>
  <c r="I591" i="1"/>
  <c r="H591" i="1"/>
  <c r="G591" i="1"/>
  <c r="F591" i="1"/>
  <c r="E591" i="1"/>
  <c r="D591" i="1"/>
  <c r="C591" i="1"/>
  <c r="B591" i="1"/>
  <c r="A591" i="1"/>
  <c r="I590" i="1"/>
  <c r="H590" i="1"/>
  <c r="G590" i="1"/>
  <c r="F590" i="1"/>
  <c r="E590" i="1"/>
  <c r="D590" i="1"/>
  <c r="C590" i="1"/>
  <c r="B590" i="1"/>
  <c r="A590" i="1"/>
  <c r="I589" i="1"/>
  <c r="H589" i="1"/>
  <c r="G589" i="1"/>
  <c r="F589" i="1"/>
  <c r="E589" i="1"/>
  <c r="D589" i="1"/>
  <c r="C589" i="1"/>
  <c r="B589" i="1"/>
  <c r="A589" i="1"/>
  <c r="I588" i="1"/>
  <c r="H588" i="1"/>
  <c r="G588" i="1"/>
  <c r="F588" i="1"/>
  <c r="E588" i="1"/>
  <c r="D588" i="1"/>
  <c r="C588" i="1"/>
  <c r="B588" i="1"/>
  <c r="A588" i="1"/>
  <c r="I587" i="1"/>
  <c r="H587" i="1"/>
  <c r="G587" i="1"/>
  <c r="F587" i="1"/>
  <c r="E587" i="1"/>
  <c r="D587" i="1"/>
  <c r="C587" i="1"/>
  <c r="B587" i="1"/>
  <c r="A587" i="1"/>
  <c r="I586" i="1"/>
  <c r="H586" i="1"/>
  <c r="G586" i="1"/>
  <c r="F586" i="1"/>
  <c r="E586" i="1"/>
  <c r="D586" i="1"/>
  <c r="C586" i="1"/>
  <c r="B586" i="1"/>
  <c r="A586" i="1"/>
  <c r="I585" i="1"/>
  <c r="H585" i="1"/>
  <c r="G585" i="1"/>
  <c r="F585" i="1"/>
  <c r="E585" i="1"/>
  <c r="D585" i="1"/>
  <c r="C585" i="1"/>
  <c r="B585" i="1"/>
  <c r="A585" i="1"/>
  <c r="I584" i="1"/>
  <c r="H584" i="1"/>
  <c r="G584" i="1"/>
  <c r="F584" i="1"/>
  <c r="E584" i="1"/>
  <c r="D584" i="1"/>
  <c r="C584" i="1"/>
  <c r="B584" i="1"/>
  <c r="A584" i="1"/>
  <c r="I583" i="1"/>
  <c r="H583" i="1"/>
  <c r="G583" i="1"/>
  <c r="F583" i="1"/>
  <c r="E583" i="1"/>
  <c r="D583" i="1"/>
  <c r="C583" i="1"/>
  <c r="B583" i="1"/>
  <c r="A583" i="1"/>
  <c r="I582" i="1"/>
  <c r="H582" i="1"/>
  <c r="G582" i="1"/>
  <c r="F582" i="1"/>
  <c r="E582" i="1"/>
  <c r="D582" i="1"/>
  <c r="C582" i="1"/>
  <c r="B582" i="1"/>
  <c r="A582" i="1"/>
  <c r="I581" i="1"/>
  <c r="H581" i="1"/>
  <c r="G581" i="1"/>
  <c r="F581" i="1"/>
  <c r="E581" i="1"/>
  <c r="D581" i="1"/>
  <c r="C581" i="1"/>
  <c r="B581" i="1"/>
  <c r="A581" i="1"/>
  <c r="I580" i="1"/>
  <c r="H580" i="1"/>
  <c r="G580" i="1"/>
  <c r="F580" i="1"/>
  <c r="E580" i="1"/>
  <c r="D580" i="1"/>
  <c r="C580" i="1"/>
  <c r="B580" i="1"/>
  <c r="A580" i="1"/>
  <c r="I579" i="1"/>
  <c r="H579" i="1"/>
  <c r="G579" i="1"/>
  <c r="F579" i="1"/>
  <c r="E579" i="1"/>
  <c r="D579" i="1"/>
  <c r="C579" i="1"/>
  <c r="B579" i="1"/>
  <c r="A579" i="1"/>
  <c r="I578" i="1"/>
  <c r="H578" i="1"/>
  <c r="G578" i="1"/>
  <c r="F578" i="1"/>
  <c r="E578" i="1"/>
  <c r="D578" i="1"/>
  <c r="C578" i="1"/>
  <c r="B578" i="1"/>
  <c r="A578" i="1"/>
  <c r="I577" i="1"/>
  <c r="H577" i="1"/>
  <c r="G577" i="1"/>
  <c r="F577" i="1"/>
  <c r="E577" i="1"/>
  <c r="D577" i="1"/>
  <c r="C577" i="1"/>
  <c r="B577" i="1"/>
  <c r="A577" i="1"/>
  <c r="I576" i="1"/>
  <c r="H576" i="1"/>
  <c r="G576" i="1"/>
  <c r="F576" i="1"/>
  <c r="E576" i="1"/>
  <c r="D576" i="1"/>
  <c r="C576" i="1"/>
  <c r="B576" i="1"/>
  <c r="A576" i="1"/>
  <c r="I575" i="1"/>
  <c r="H575" i="1"/>
  <c r="G575" i="1"/>
  <c r="F575" i="1"/>
  <c r="E575" i="1"/>
  <c r="D575" i="1"/>
  <c r="C575" i="1"/>
  <c r="B575" i="1"/>
  <c r="A575" i="1"/>
  <c r="I574" i="1"/>
  <c r="H574" i="1"/>
  <c r="G574" i="1"/>
  <c r="F574" i="1"/>
  <c r="E574" i="1"/>
  <c r="D574" i="1"/>
  <c r="C574" i="1"/>
  <c r="B574" i="1"/>
  <c r="A574" i="1"/>
  <c r="I573" i="1"/>
  <c r="H573" i="1"/>
  <c r="G573" i="1"/>
  <c r="F573" i="1"/>
  <c r="E573" i="1"/>
  <c r="D573" i="1"/>
  <c r="C573" i="1"/>
  <c r="B573" i="1"/>
  <c r="A573" i="1"/>
  <c r="I572" i="1"/>
  <c r="H572" i="1"/>
  <c r="G572" i="1"/>
  <c r="F572" i="1"/>
  <c r="E572" i="1"/>
  <c r="D572" i="1"/>
  <c r="C572" i="1"/>
  <c r="B572" i="1"/>
  <c r="A572" i="1"/>
  <c r="I571" i="1"/>
  <c r="H571" i="1"/>
  <c r="G571" i="1"/>
  <c r="F571" i="1"/>
  <c r="E571" i="1"/>
  <c r="D571" i="1"/>
  <c r="C571" i="1"/>
  <c r="B571" i="1"/>
  <c r="A571" i="1"/>
  <c r="I570" i="1"/>
  <c r="H570" i="1"/>
  <c r="G570" i="1"/>
  <c r="F570" i="1"/>
  <c r="E570" i="1"/>
  <c r="D570" i="1"/>
  <c r="C570" i="1"/>
  <c r="B570" i="1"/>
  <c r="A570" i="1"/>
  <c r="I569" i="1"/>
  <c r="H569" i="1"/>
  <c r="G569" i="1"/>
  <c r="F569" i="1"/>
  <c r="E569" i="1"/>
  <c r="D569" i="1"/>
  <c r="C569" i="1"/>
  <c r="B569" i="1"/>
  <c r="A569" i="1"/>
  <c r="I568" i="1"/>
  <c r="H568" i="1"/>
  <c r="G568" i="1"/>
  <c r="F568" i="1"/>
  <c r="E568" i="1"/>
  <c r="D568" i="1"/>
  <c r="C568" i="1"/>
  <c r="B568" i="1"/>
  <c r="A568" i="1"/>
  <c r="I567" i="1"/>
  <c r="H567" i="1"/>
  <c r="G567" i="1"/>
  <c r="F567" i="1"/>
  <c r="E567" i="1"/>
  <c r="D567" i="1"/>
  <c r="C567" i="1"/>
  <c r="B567" i="1"/>
  <c r="A567" i="1"/>
  <c r="I566" i="1"/>
  <c r="H566" i="1"/>
  <c r="G566" i="1"/>
  <c r="F566" i="1"/>
  <c r="E566" i="1"/>
  <c r="D566" i="1"/>
  <c r="C566" i="1"/>
  <c r="B566" i="1"/>
  <c r="A566" i="1"/>
  <c r="I565" i="1"/>
  <c r="H565" i="1"/>
  <c r="G565" i="1"/>
  <c r="F565" i="1"/>
  <c r="E565" i="1"/>
  <c r="D565" i="1"/>
  <c r="C565" i="1"/>
  <c r="B565" i="1"/>
  <c r="A565" i="1"/>
  <c r="I564" i="1"/>
  <c r="H564" i="1"/>
  <c r="G564" i="1"/>
  <c r="F564" i="1"/>
  <c r="E564" i="1"/>
  <c r="D564" i="1"/>
  <c r="C564" i="1"/>
  <c r="B564" i="1"/>
  <c r="A564" i="1"/>
  <c r="I563" i="1"/>
  <c r="H563" i="1"/>
  <c r="G563" i="1"/>
  <c r="F563" i="1"/>
  <c r="E563" i="1"/>
  <c r="D563" i="1"/>
  <c r="C563" i="1"/>
  <c r="B563" i="1"/>
  <c r="A563" i="1"/>
  <c r="I562" i="1"/>
  <c r="H562" i="1"/>
  <c r="G562" i="1"/>
  <c r="F562" i="1"/>
  <c r="E562" i="1"/>
  <c r="D562" i="1"/>
  <c r="C562" i="1"/>
  <c r="B562" i="1"/>
  <c r="A562" i="1"/>
  <c r="I561" i="1"/>
  <c r="H561" i="1"/>
  <c r="G561" i="1"/>
  <c r="F561" i="1"/>
  <c r="E561" i="1"/>
  <c r="D561" i="1"/>
  <c r="C561" i="1"/>
  <c r="B561" i="1"/>
  <c r="A561" i="1"/>
  <c r="I560" i="1"/>
  <c r="H560" i="1"/>
  <c r="G560" i="1"/>
  <c r="F560" i="1"/>
  <c r="E560" i="1"/>
  <c r="D560" i="1"/>
  <c r="C560" i="1"/>
  <c r="B560" i="1"/>
  <c r="A560" i="1"/>
  <c r="I559" i="1"/>
  <c r="H559" i="1"/>
  <c r="G559" i="1"/>
  <c r="F559" i="1"/>
  <c r="E559" i="1"/>
  <c r="D559" i="1"/>
  <c r="C559" i="1"/>
  <c r="B559" i="1"/>
  <c r="A559" i="1"/>
  <c r="I558" i="1"/>
  <c r="H558" i="1"/>
  <c r="G558" i="1"/>
  <c r="F558" i="1"/>
  <c r="E558" i="1"/>
  <c r="D558" i="1"/>
  <c r="C558" i="1"/>
  <c r="B558" i="1"/>
  <c r="A558" i="1"/>
  <c r="I557" i="1"/>
  <c r="H557" i="1"/>
  <c r="G557" i="1"/>
  <c r="F557" i="1"/>
  <c r="E557" i="1"/>
  <c r="D557" i="1"/>
  <c r="C557" i="1"/>
  <c r="B557" i="1"/>
  <c r="A557" i="1"/>
  <c r="I556" i="1"/>
  <c r="H556" i="1"/>
  <c r="G556" i="1"/>
  <c r="F556" i="1"/>
  <c r="E556" i="1"/>
  <c r="D556" i="1"/>
  <c r="C556" i="1"/>
  <c r="B556" i="1"/>
  <c r="A556" i="1"/>
  <c r="I555" i="1"/>
  <c r="H555" i="1"/>
  <c r="G555" i="1"/>
  <c r="F555" i="1"/>
  <c r="E555" i="1"/>
  <c r="D555" i="1"/>
  <c r="C555" i="1"/>
  <c r="B555" i="1"/>
  <c r="A555" i="1"/>
  <c r="I554" i="1"/>
  <c r="H554" i="1"/>
  <c r="G554" i="1"/>
  <c r="F554" i="1"/>
  <c r="E554" i="1"/>
  <c r="D554" i="1"/>
  <c r="C554" i="1"/>
  <c r="B554" i="1"/>
  <c r="A554" i="1"/>
  <c r="I553" i="1"/>
  <c r="H553" i="1"/>
  <c r="G553" i="1"/>
  <c r="F553" i="1"/>
  <c r="E553" i="1"/>
  <c r="D553" i="1"/>
  <c r="C553" i="1"/>
  <c r="B553" i="1"/>
  <c r="A553" i="1"/>
  <c r="I552" i="1"/>
  <c r="H552" i="1"/>
  <c r="G552" i="1"/>
  <c r="F552" i="1"/>
  <c r="E552" i="1"/>
  <c r="D552" i="1"/>
  <c r="C552" i="1"/>
  <c r="B552" i="1"/>
  <c r="A552" i="1"/>
  <c r="I551" i="1"/>
  <c r="H551" i="1"/>
  <c r="G551" i="1"/>
  <c r="F551" i="1"/>
  <c r="E551" i="1"/>
  <c r="D551" i="1"/>
  <c r="C551" i="1"/>
  <c r="B551" i="1"/>
  <c r="A551" i="1"/>
  <c r="I550" i="1"/>
  <c r="H550" i="1"/>
  <c r="G550" i="1"/>
  <c r="F550" i="1"/>
  <c r="E550" i="1"/>
  <c r="D550" i="1"/>
  <c r="C550" i="1"/>
  <c r="B550" i="1"/>
  <c r="A550" i="1"/>
  <c r="I549" i="1"/>
  <c r="H549" i="1"/>
  <c r="G549" i="1"/>
  <c r="F549" i="1"/>
  <c r="E549" i="1"/>
  <c r="D549" i="1"/>
  <c r="C549" i="1"/>
  <c r="B549" i="1"/>
  <c r="A549" i="1"/>
  <c r="I548" i="1"/>
  <c r="H548" i="1"/>
  <c r="G548" i="1"/>
  <c r="F548" i="1"/>
  <c r="E548" i="1"/>
  <c r="D548" i="1"/>
  <c r="C548" i="1"/>
  <c r="B548" i="1"/>
  <c r="A548" i="1"/>
  <c r="I547" i="1"/>
  <c r="H547" i="1"/>
  <c r="G547" i="1"/>
  <c r="F547" i="1"/>
  <c r="E547" i="1"/>
  <c r="D547" i="1"/>
  <c r="C547" i="1"/>
  <c r="B547" i="1"/>
  <c r="A547" i="1"/>
  <c r="I546" i="1"/>
  <c r="H546" i="1"/>
  <c r="G546" i="1"/>
  <c r="F546" i="1"/>
  <c r="E546" i="1"/>
  <c r="D546" i="1"/>
  <c r="C546" i="1"/>
  <c r="B546" i="1"/>
  <c r="A546" i="1"/>
  <c r="I545" i="1"/>
  <c r="H545" i="1"/>
  <c r="G545" i="1"/>
  <c r="F545" i="1"/>
  <c r="E545" i="1"/>
  <c r="D545" i="1"/>
  <c r="C545" i="1"/>
  <c r="B545" i="1"/>
  <c r="A545" i="1"/>
  <c r="I544" i="1"/>
  <c r="H544" i="1"/>
  <c r="G544" i="1"/>
  <c r="F544" i="1"/>
  <c r="E544" i="1"/>
  <c r="D544" i="1"/>
  <c r="C544" i="1"/>
  <c r="B544" i="1"/>
  <c r="A544" i="1"/>
  <c r="I543" i="1"/>
  <c r="H543" i="1"/>
  <c r="G543" i="1"/>
  <c r="F543" i="1"/>
  <c r="E543" i="1"/>
  <c r="D543" i="1"/>
  <c r="C543" i="1"/>
  <c r="B543" i="1"/>
  <c r="A543" i="1"/>
  <c r="I542" i="1"/>
  <c r="H542" i="1"/>
  <c r="G542" i="1"/>
  <c r="F542" i="1"/>
  <c r="E542" i="1"/>
  <c r="D542" i="1"/>
  <c r="C542" i="1"/>
  <c r="B542" i="1"/>
  <c r="A542" i="1"/>
  <c r="I541" i="1"/>
  <c r="H541" i="1"/>
  <c r="G541" i="1"/>
  <c r="F541" i="1"/>
  <c r="E541" i="1"/>
  <c r="D541" i="1"/>
  <c r="C541" i="1"/>
  <c r="B541" i="1"/>
  <c r="A541" i="1"/>
  <c r="I540" i="1"/>
  <c r="H540" i="1"/>
  <c r="G540" i="1"/>
  <c r="F540" i="1"/>
  <c r="E540" i="1"/>
  <c r="D540" i="1"/>
  <c r="C540" i="1"/>
  <c r="B540" i="1"/>
  <c r="A540" i="1"/>
  <c r="I539" i="1"/>
  <c r="H539" i="1"/>
  <c r="G539" i="1"/>
  <c r="F539" i="1"/>
  <c r="E539" i="1"/>
  <c r="D539" i="1"/>
  <c r="C539" i="1"/>
  <c r="B539" i="1"/>
  <c r="A539" i="1"/>
  <c r="I538" i="1"/>
  <c r="H538" i="1"/>
  <c r="G538" i="1"/>
  <c r="F538" i="1"/>
  <c r="E538" i="1"/>
  <c r="D538" i="1"/>
  <c r="C538" i="1"/>
  <c r="B538" i="1"/>
  <c r="A538" i="1"/>
  <c r="I537" i="1"/>
  <c r="H537" i="1"/>
  <c r="G537" i="1"/>
  <c r="F537" i="1"/>
  <c r="E537" i="1"/>
  <c r="D537" i="1"/>
  <c r="C537" i="1"/>
  <c r="B537" i="1"/>
  <c r="A537" i="1"/>
  <c r="I536" i="1"/>
  <c r="H536" i="1"/>
  <c r="G536" i="1"/>
  <c r="F536" i="1"/>
  <c r="E536" i="1"/>
  <c r="D536" i="1"/>
  <c r="C536" i="1"/>
  <c r="B536" i="1"/>
  <c r="A536" i="1"/>
  <c r="I535" i="1"/>
  <c r="H535" i="1"/>
  <c r="G535" i="1"/>
  <c r="F535" i="1"/>
  <c r="E535" i="1"/>
  <c r="D535" i="1"/>
  <c r="C535" i="1"/>
  <c r="B535" i="1"/>
  <c r="A535" i="1"/>
  <c r="I534" i="1"/>
  <c r="H534" i="1"/>
  <c r="G534" i="1"/>
  <c r="F534" i="1"/>
  <c r="E534" i="1"/>
  <c r="D534" i="1"/>
  <c r="C534" i="1"/>
  <c r="B534" i="1"/>
  <c r="A534" i="1"/>
  <c r="I533" i="1"/>
  <c r="H533" i="1"/>
  <c r="G533" i="1"/>
  <c r="F533" i="1"/>
  <c r="E533" i="1"/>
  <c r="D533" i="1"/>
  <c r="C533" i="1"/>
  <c r="B533" i="1"/>
  <c r="A533" i="1"/>
  <c r="I532" i="1"/>
  <c r="H532" i="1"/>
  <c r="G532" i="1"/>
  <c r="F532" i="1"/>
  <c r="E532" i="1"/>
  <c r="D532" i="1"/>
  <c r="C532" i="1"/>
  <c r="B532" i="1"/>
  <c r="A532" i="1"/>
  <c r="I531" i="1"/>
  <c r="H531" i="1"/>
  <c r="G531" i="1"/>
  <c r="F531" i="1"/>
  <c r="E531" i="1"/>
  <c r="D531" i="1"/>
  <c r="C531" i="1"/>
  <c r="B531" i="1"/>
  <c r="A531" i="1"/>
  <c r="I530" i="1"/>
  <c r="H530" i="1"/>
  <c r="G530" i="1"/>
  <c r="F530" i="1"/>
  <c r="E530" i="1"/>
  <c r="D530" i="1"/>
  <c r="C530" i="1"/>
  <c r="B530" i="1"/>
  <c r="A530" i="1"/>
  <c r="I529" i="1"/>
  <c r="H529" i="1"/>
  <c r="G529" i="1"/>
  <c r="F529" i="1"/>
  <c r="E529" i="1"/>
  <c r="D529" i="1"/>
  <c r="C529" i="1"/>
  <c r="B529" i="1"/>
  <c r="A529" i="1"/>
  <c r="I528" i="1"/>
  <c r="H528" i="1"/>
  <c r="G528" i="1"/>
  <c r="F528" i="1"/>
  <c r="E528" i="1"/>
  <c r="D528" i="1"/>
  <c r="C528" i="1"/>
  <c r="B528" i="1"/>
  <c r="A528" i="1"/>
  <c r="I527" i="1"/>
  <c r="H527" i="1"/>
  <c r="G527" i="1"/>
  <c r="F527" i="1"/>
  <c r="E527" i="1"/>
  <c r="D527" i="1"/>
  <c r="C527" i="1"/>
  <c r="B527" i="1"/>
  <c r="A527" i="1"/>
  <c r="I526" i="1"/>
  <c r="H526" i="1"/>
  <c r="G526" i="1"/>
  <c r="F526" i="1"/>
  <c r="E526" i="1"/>
  <c r="D526" i="1"/>
  <c r="C526" i="1"/>
  <c r="B526" i="1"/>
  <c r="A526" i="1"/>
  <c r="I525" i="1"/>
  <c r="H525" i="1"/>
  <c r="G525" i="1"/>
  <c r="F525" i="1"/>
  <c r="E525" i="1"/>
  <c r="D525" i="1"/>
  <c r="C525" i="1"/>
  <c r="B525" i="1"/>
  <c r="A525" i="1"/>
  <c r="I524" i="1"/>
  <c r="H524" i="1"/>
  <c r="G524" i="1"/>
  <c r="F524" i="1"/>
  <c r="E524" i="1"/>
  <c r="D524" i="1"/>
  <c r="C524" i="1"/>
  <c r="B524" i="1"/>
  <c r="A524" i="1"/>
  <c r="I523" i="1"/>
  <c r="H523" i="1"/>
  <c r="G523" i="1"/>
  <c r="F523" i="1"/>
  <c r="E523" i="1"/>
  <c r="D523" i="1"/>
  <c r="C523" i="1"/>
  <c r="B523" i="1"/>
  <c r="A523" i="1"/>
  <c r="I522" i="1"/>
  <c r="H522" i="1"/>
  <c r="G522" i="1"/>
  <c r="F522" i="1"/>
  <c r="E522" i="1"/>
  <c r="D522" i="1"/>
  <c r="C522" i="1"/>
  <c r="B522" i="1"/>
  <c r="A522" i="1"/>
  <c r="I521" i="1"/>
  <c r="H521" i="1"/>
  <c r="G521" i="1"/>
  <c r="F521" i="1"/>
  <c r="E521" i="1"/>
  <c r="D521" i="1"/>
  <c r="C521" i="1"/>
  <c r="B521" i="1"/>
  <c r="A521" i="1"/>
  <c r="I520" i="1"/>
  <c r="H520" i="1"/>
  <c r="G520" i="1"/>
  <c r="F520" i="1"/>
  <c r="E520" i="1"/>
  <c r="D520" i="1"/>
  <c r="C520" i="1"/>
  <c r="B520" i="1"/>
  <c r="A520" i="1"/>
  <c r="I519" i="1"/>
  <c r="H519" i="1"/>
  <c r="G519" i="1"/>
  <c r="F519" i="1"/>
  <c r="E519" i="1"/>
  <c r="D519" i="1"/>
  <c r="C519" i="1"/>
  <c r="B519" i="1"/>
  <c r="A519" i="1"/>
  <c r="I518" i="1"/>
  <c r="H518" i="1"/>
  <c r="G518" i="1"/>
  <c r="F518" i="1"/>
  <c r="E518" i="1"/>
  <c r="D518" i="1"/>
  <c r="C518" i="1"/>
  <c r="B518" i="1"/>
  <c r="A518" i="1"/>
  <c r="I517" i="1"/>
  <c r="H517" i="1"/>
  <c r="G517" i="1"/>
  <c r="F517" i="1"/>
  <c r="E517" i="1"/>
  <c r="D517" i="1"/>
  <c r="C517" i="1"/>
  <c r="B517" i="1"/>
  <c r="A517" i="1"/>
  <c r="I516" i="1"/>
  <c r="H516" i="1"/>
  <c r="G516" i="1"/>
  <c r="F516" i="1"/>
  <c r="E516" i="1"/>
  <c r="D516" i="1"/>
  <c r="C516" i="1"/>
  <c r="B516" i="1"/>
  <c r="A516" i="1"/>
  <c r="I515" i="1"/>
  <c r="H515" i="1"/>
  <c r="G515" i="1"/>
  <c r="F515" i="1"/>
  <c r="E515" i="1"/>
  <c r="D515" i="1"/>
  <c r="C515" i="1"/>
  <c r="B515" i="1"/>
  <c r="A515" i="1"/>
  <c r="I514" i="1"/>
  <c r="H514" i="1"/>
  <c r="G514" i="1"/>
  <c r="F514" i="1"/>
  <c r="E514" i="1"/>
  <c r="D514" i="1"/>
  <c r="C514" i="1"/>
  <c r="B514" i="1"/>
  <c r="A514" i="1"/>
  <c r="I513" i="1"/>
  <c r="H513" i="1"/>
  <c r="G513" i="1"/>
  <c r="F513" i="1"/>
  <c r="E513" i="1"/>
  <c r="D513" i="1"/>
  <c r="C513" i="1"/>
  <c r="B513" i="1"/>
  <c r="A513" i="1"/>
  <c r="I512" i="1"/>
  <c r="H512" i="1"/>
  <c r="G512" i="1"/>
  <c r="F512" i="1"/>
  <c r="E512" i="1"/>
  <c r="D512" i="1"/>
  <c r="C512" i="1"/>
  <c r="B512" i="1"/>
  <c r="A512" i="1"/>
  <c r="I511" i="1"/>
  <c r="H511" i="1"/>
  <c r="G511" i="1"/>
  <c r="F511" i="1"/>
  <c r="E511" i="1"/>
  <c r="D511" i="1"/>
  <c r="C511" i="1"/>
  <c r="B511" i="1"/>
  <c r="A511" i="1"/>
  <c r="I510" i="1"/>
  <c r="H510" i="1"/>
  <c r="G510" i="1"/>
  <c r="F510" i="1"/>
  <c r="E510" i="1"/>
  <c r="D510" i="1"/>
  <c r="C510" i="1"/>
  <c r="B510" i="1"/>
  <c r="A510" i="1"/>
  <c r="I509" i="1"/>
  <c r="H509" i="1"/>
  <c r="G509" i="1"/>
  <c r="F509" i="1"/>
  <c r="E509" i="1"/>
  <c r="D509" i="1"/>
  <c r="C509" i="1"/>
  <c r="B509" i="1"/>
  <c r="A509" i="1"/>
  <c r="I508" i="1"/>
  <c r="H508" i="1"/>
  <c r="G508" i="1"/>
  <c r="F508" i="1"/>
  <c r="E508" i="1"/>
  <c r="D508" i="1"/>
  <c r="C508" i="1"/>
  <c r="B508" i="1"/>
  <c r="A508" i="1"/>
  <c r="I507" i="1"/>
  <c r="H507" i="1"/>
  <c r="G507" i="1"/>
  <c r="F507" i="1"/>
  <c r="E507" i="1"/>
  <c r="D507" i="1"/>
  <c r="C507" i="1"/>
  <c r="B507" i="1"/>
  <c r="A507" i="1"/>
  <c r="I506" i="1"/>
  <c r="H506" i="1"/>
  <c r="G506" i="1"/>
  <c r="F506" i="1"/>
  <c r="E506" i="1"/>
  <c r="D506" i="1"/>
  <c r="C506" i="1"/>
  <c r="B506" i="1"/>
  <c r="A506" i="1"/>
  <c r="I505" i="1"/>
  <c r="H505" i="1"/>
  <c r="G505" i="1"/>
  <c r="F505" i="1"/>
  <c r="E505" i="1"/>
  <c r="D505" i="1"/>
  <c r="C505" i="1"/>
  <c r="B505" i="1"/>
  <c r="A505" i="1"/>
  <c r="I504" i="1"/>
  <c r="H504" i="1"/>
  <c r="G504" i="1"/>
  <c r="F504" i="1"/>
  <c r="E504" i="1"/>
  <c r="D504" i="1"/>
  <c r="C504" i="1"/>
  <c r="B504" i="1"/>
  <c r="A504" i="1"/>
  <c r="I503" i="1"/>
  <c r="H503" i="1"/>
  <c r="G503" i="1"/>
  <c r="F503" i="1"/>
  <c r="E503" i="1"/>
  <c r="D503" i="1"/>
  <c r="C503" i="1"/>
  <c r="B503" i="1"/>
  <c r="A503" i="1"/>
  <c r="I502" i="1"/>
  <c r="H502" i="1"/>
  <c r="G502" i="1"/>
  <c r="F502" i="1"/>
  <c r="E502" i="1"/>
  <c r="D502" i="1"/>
  <c r="C502" i="1"/>
  <c r="B502" i="1"/>
  <c r="A502" i="1"/>
  <c r="I501" i="1"/>
  <c r="H501" i="1"/>
  <c r="G501" i="1"/>
  <c r="F501" i="1"/>
  <c r="E501" i="1"/>
  <c r="D501" i="1"/>
  <c r="C501" i="1"/>
  <c r="B501" i="1"/>
  <c r="A501" i="1"/>
  <c r="I500" i="1"/>
  <c r="H500" i="1"/>
  <c r="G500" i="1"/>
  <c r="F500" i="1"/>
  <c r="E500" i="1"/>
  <c r="D500" i="1"/>
  <c r="C500" i="1"/>
  <c r="B500" i="1"/>
  <c r="A500" i="1"/>
  <c r="I499" i="1"/>
  <c r="H499" i="1"/>
  <c r="G499" i="1"/>
  <c r="F499" i="1"/>
  <c r="E499" i="1"/>
  <c r="D499" i="1"/>
  <c r="C499" i="1"/>
  <c r="B499" i="1"/>
  <c r="A499" i="1"/>
  <c r="I498" i="1"/>
  <c r="H498" i="1"/>
  <c r="G498" i="1"/>
  <c r="F498" i="1"/>
  <c r="E498" i="1"/>
  <c r="D498" i="1"/>
  <c r="C498" i="1"/>
  <c r="B498" i="1"/>
  <c r="A498" i="1"/>
  <c r="I497" i="1"/>
  <c r="H497" i="1"/>
  <c r="G497" i="1"/>
  <c r="F497" i="1"/>
  <c r="E497" i="1"/>
  <c r="D497" i="1"/>
  <c r="C497" i="1"/>
  <c r="B497" i="1"/>
  <c r="A497" i="1"/>
  <c r="I496" i="1"/>
  <c r="H496" i="1"/>
  <c r="G496" i="1"/>
  <c r="F496" i="1"/>
  <c r="E496" i="1"/>
  <c r="D496" i="1"/>
  <c r="C496" i="1"/>
  <c r="B496" i="1"/>
  <c r="A496" i="1"/>
  <c r="I495" i="1"/>
  <c r="H495" i="1"/>
  <c r="G495" i="1"/>
  <c r="F495" i="1"/>
  <c r="E495" i="1"/>
  <c r="D495" i="1"/>
  <c r="C495" i="1"/>
  <c r="B495" i="1"/>
  <c r="A495" i="1"/>
  <c r="I494" i="1"/>
  <c r="H494" i="1"/>
  <c r="G494" i="1"/>
  <c r="F494" i="1"/>
  <c r="E494" i="1"/>
  <c r="D494" i="1"/>
  <c r="C494" i="1"/>
  <c r="B494" i="1"/>
  <c r="A494" i="1"/>
  <c r="I493" i="1"/>
  <c r="H493" i="1"/>
  <c r="G493" i="1"/>
  <c r="F493" i="1"/>
  <c r="E493" i="1"/>
  <c r="D493" i="1"/>
  <c r="C493" i="1"/>
  <c r="B493" i="1"/>
  <c r="A493" i="1"/>
  <c r="I492" i="1"/>
  <c r="H492" i="1"/>
  <c r="G492" i="1"/>
  <c r="F492" i="1"/>
  <c r="E492" i="1"/>
  <c r="D492" i="1"/>
  <c r="C492" i="1"/>
  <c r="B492" i="1"/>
  <c r="A492" i="1"/>
  <c r="I491" i="1"/>
  <c r="H491" i="1"/>
  <c r="G491" i="1"/>
  <c r="F491" i="1"/>
  <c r="E491" i="1"/>
  <c r="D491" i="1"/>
  <c r="C491" i="1"/>
  <c r="B491" i="1"/>
  <c r="A491" i="1"/>
  <c r="I490" i="1"/>
  <c r="H490" i="1"/>
  <c r="G490" i="1"/>
  <c r="F490" i="1"/>
  <c r="E490" i="1"/>
  <c r="D490" i="1"/>
  <c r="C490" i="1"/>
  <c r="B490" i="1"/>
  <c r="A490" i="1"/>
  <c r="I489" i="1"/>
  <c r="H489" i="1"/>
  <c r="G489" i="1"/>
  <c r="F489" i="1"/>
  <c r="E489" i="1"/>
  <c r="D489" i="1"/>
  <c r="C489" i="1"/>
  <c r="B489" i="1"/>
  <c r="A489" i="1"/>
  <c r="I488" i="1"/>
  <c r="H488" i="1"/>
  <c r="G488" i="1"/>
  <c r="F488" i="1"/>
  <c r="E488" i="1"/>
  <c r="D488" i="1"/>
  <c r="C488" i="1"/>
  <c r="B488" i="1"/>
  <c r="A488" i="1"/>
  <c r="I487" i="1"/>
  <c r="H487" i="1"/>
  <c r="G487" i="1"/>
  <c r="F487" i="1"/>
  <c r="E487" i="1"/>
  <c r="D487" i="1"/>
  <c r="C487" i="1"/>
  <c r="B487" i="1"/>
  <c r="A487" i="1"/>
  <c r="I486" i="1"/>
  <c r="H486" i="1"/>
  <c r="G486" i="1"/>
  <c r="F486" i="1"/>
  <c r="E486" i="1"/>
  <c r="D486" i="1"/>
  <c r="C486" i="1"/>
  <c r="B486" i="1"/>
  <c r="A486" i="1"/>
  <c r="I485" i="1"/>
  <c r="H485" i="1"/>
  <c r="G485" i="1"/>
  <c r="F485" i="1"/>
  <c r="E485" i="1"/>
  <c r="D485" i="1"/>
  <c r="C485" i="1"/>
  <c r="B485" i="1"/>
  <c r="A485" i="1"/>
  <c r="I484" i="1"/>
  <c r="H484" i="1"/>
  <c r="G484" i="1"/>
  <c r="F484" i="1"/>
  <c r="E484" i="1"/>
  <c r="D484" i="1"/>
  <c r="C484" i="1"/>
  <c r="B484" i="1"/>
  <c r="A484" i="1"/>
  <c r="I483" i="1"/>
  <c r="H483" i="1"/>
  <c r="G483" i="1"/>
  <c r="F483" i="1"/>
  <c r="E483" i="1"/>
  <c r="D483" i="1"/>
  <c r="C483" i="1"/>
  <c r="B483" i="1"/>
  <c r="A483" i="1"/>
  <c r="I482" i="1"/>
  <c r="H482" i="1"/>
  <c r="G482" i="1"/>
  <c r="F482" i="1"/>
  <c r="E482" i="1"/>
  <c r="D482" i="1"/>
  <c r="C482" i="1"/>
  <c r="B482" i="1"/>
  <c r="A482" i="1"/>
  <c r="I481" i="1"/>
  <c r="H481" i="1"/>
  <c r="G481" i="1"/>
  <c r="F481" i="1"/>
  <c r="E481" i="1"/>
  <c r="D481" i="1"/>
  <c r="C481" i="1"/>
  <c r="B481" i="1"/>
  <c r="A481" i="1"/>
  <c r="I480" i="1"/>
  <c r="H480" i="1"/>
  <c r="G480" i="1"/>
  <c r="F480" i="1"/>
  <c r="E480" i="1"/>
  <c r="D480" i="1"/>
  <c r="C480" i="1"/>
  <c r="B480" i="1"/>
  <c r="A480" i="1"/>
  <c r="I479" i="1"/>
  <c r="H479" i="1"/>
  <c r="G479" i="1"/>
  <c r="F479" i="1"/>
  <c r="E479" i="1"/>
  <c r="D479" i="1"/>
  <c r="C479" i="1"/>
  <c r="B479" i="1"/>
  <c r="A479" i="1"/>
  <c r="I478" i="1"/>
  <c r="H478" i="1"/>
  <c r="G478" i="1"/>
  <c r="F478" i="1"/>
  <c r="E478" i="1"/>
  <c r="D478" i="1"/>
  <c r="C478" i="1"/>
  <c r="B478" i="1"/>
  <c r="A478" i="1"/>
  <c r="I477" i="1"/>
  <c r="H477" i="1"/>
  <c r="G477" i="1"/>
  <c r="F477" i="1"/>
  <c r="E477" i="1"/>
  <c r="D477" i="1"/>
  <c r="C477" i="1"/>
  <c r="B477" i="1"/>
  <c r="A477" i="1"/>
  <c r="I476" i="1"/>
  <c r="H476" i="1"/>
  <c r="G476" i="1"/>
  <c r="F476" i="1"/>
  <c r="E476" i="1"/>
  <c r="D476" i="1"/>
  <c r="C476" i="1"/>
  <c r="B476" i="1"/>
  <c r="A476" i="1"/>
  <c r="I475" i="1"/>
  <c r="H475" i="1"/>
  <c r="G475" i="1"/>
  <c r="F475" i="1"/>
  <c r="E475" i="1"/>
  <c r="D475" i="1"/>
  <c r="C475" i="1"/>
  <c r="B475" i="1"/>
  <c r="A475" i="1"/>
  <c r="I474" i="1"/>
  <c r="H474" i="1"/>
  <c r="G474" i="1"/>
  <c r="F474" i="1"/>
  <c r="E474" i="1"/>
  <c r="D474" i="1"/>
  <c r="C474" i="1"/>
  <c r="B474" i="1"/>
  <c r="A474" i="1"/>
  <c r="I473" i="1"/>
  <c r="H473" i="1"/>
  <c r="G473" i="1"/>
  <c r="F473" i="1"/>
  <c r="E473" i="1"/>
  <c r="D473" i="1"/>
  <c r="C473" i="1"/>
  <c r="B473" i="1"/>
  <c r="A473" i="1"/>
  <c r="I472" i="1"/>
  <c r="H472" i="1"/>
  <c r="G472" i="1"/>
  <c r="F472" i="1"/>
  <c r="E472" i="1"/>
  <c r="D472" i="1"/>
  <c r="C472" i="1"/>
  <c r="B472" i="1"/>
  <c r="A472" i="1"/>
  <c r="I471" i="1"/>
  <c r="H471" i="1"/>
  <c r="G471" i="1"/>
  <c r="F471" i="1"/>
  <c r="E471" i="1"/>
  <c r="D471" i="1"/>
  <c r="C471" i="1"/>
  <c r="B471" i="1"/>
  <c r="A471" i="1"/>
  <c r="I470" i="1"/>
  <c r="H470" i="1"/>
  <c r="G470" i="1"/>
  <c r="F470" i="1"/>
  <c r="E470" i="1"/>
  <c r="D470" i="1"/>
  <c r="C470" i="1"/>
  <c r="B470" i="1"/>
  <c r="A470" i="1"/>
  <c r="I469" i="1"/>
  <c r="H469" i="1"/>
  <c r="G469" i="1"/>
  <c r="F469" i="1"/>
  <c r="E469" i="1"/>
  <c r="D469" i="1"/>
  <c r="C469" i="1"/>
  <c r="B469" i="1"/>
  <c r="A469" i="1"/>
  <c r="I468" i="1"/>
  <c r="H468" i="1"/>
  <c r="G468" i="1"/>
  <c r="F468" i="1"/>
  <c r="E468" i="1"/>
  <c r="D468" i="1"/>
  <c r="C468" i="1"/>
  <c r="B468" i="1"/>
  <c r="A468" i="1"/>
  <c r="I467" i="1"/>
  <c r="H467" i="1"/>
  <c r="G467" i="1"/>
  <c r="F467" i="1"/>
  <c r="E467" i="1"/>
  <c r="D467" i="1"/>
  <c r="C467" i="1"/>
  <c r="B467" i="1"/>
  <c r="A467" i="1"/>
  <c r="I466" i="1"/>
  <c r="H466" i="1"/>
  <c r="G466" i="1"/>
  <c r="F466" i="1"/>
  <c r="E466" i="1"/>
  <c r="D466" i="1"/>
  <c r="C466" i="1"/>
  <c r="B466" i="1"/>
  <c r="A466" i="1"/>
  <c r="I465" i="1"/>
  <c r="H465" i="1"/>
  <c r="G465" i="1"/>
  <c r="F465" i="1"/>
  <c r="E465" i="1"/>
  <c r="D465" i="1"/>
  <c r="C465" i="1"/>
  <c r="B465" i="1"/>
  <c r="A465" i="1"/>
  <c r="I464" i="1"/>
  <c r="H464" i="1"/>
  <c r="G464" i="1"/>
  <c r="F464" i="1"/>
  <c r="E464" i="1"/>
  <c r="D464" i="1"/>
  <c r="C464" i="1"/>
  <c r="B464" i="1"/>
  <c r="A464" i="1"/>
  <c r="I463" i="1"/>
  <c r="H463" i="1"/>
  <c r="G463" i="1"/>
  <c r="F463" i="1"/>
  <c r="E463" i="1"/>
  <c r="D463" i="1"/>
  <c r="C463" i="1"/>
  <c r="B463" i="1"/>
  <c r="A463" i="1"/>
  <c r="I462" i="1"/>
  <c r="H462" i="1"/>
  <c r="G462" i="1"/>
  <c r="F462" i="1"/>
  <c r="E462" i="1"/>
  <c r="D462" i="1"/>
  <c r="C462" i="1"/>
  <c r="B462" i="1"/>
  <c r="A462" i="1"/>
  <c r="I461" i="1"/>
  <c r="H461" i="1"/>
  <c r="G461" i="1"/>
  <c r="F461" i="1"/>
  <c r="E461" i="1"/>
  <c r="D461" i="1"/>
  <c r="C461" i="1"/>
  <c r="B461" i="1"/>
  <c r="A461" i="1"/>
  <c r="I460" i="1"/>
  <c r="H460" i="1"/>
  <c r="G460" i="1"/>
  <c r="F460" i="1"/>
  <c r="E460" i="1"/>
  <c r="D460" i="1"/>
  <c r="C460" i="1"/>
  <c r="B460" i="1"/>
  <c r="A460" i="1"/>
  <c r="I459" i="1"/>
  <c r="H459" i="1"/>
  <c r="G459" i="1"/>
  <c r="F459" i="1"/>
  <c r="E459" i="1"/>
  <c r="D459" i="1"/>
  <c r="C459" i="1"/>
  <c r="B459" i="1"/>
  <c r="A459" i="1"/>
  <c r="I458" i="1"/>
  <c r="H458" i="1"/>
  <c r="G458" i="1"/>
  <c r="F458" i="1"/>
  <c r="E458" i="1"/>
  <c r="D458" i="1"/>
  <c r="C458" i="1"/>
  <c r="B458" i="1"/>
  <c r="A458" i="1"/>
  <c r="I457" i="1"/>
  <c r="H457" i="1"/>
  <c r="G457" i="1"/>
  <c r="F457" i="1"/>
  <c r="E457" i="1"/>
  <c r="D457" i="1"/>
  <c r="C457" i="1"/>
  <c r="B457" i="1"/>
  <c r="A457" i="1"/>
  <c r="I456" i="1"/>
  <c r="H456" i="1"/>
  <c r="G456" i="1"/>
  <c r="F456" i="1"/>
  <c r="E456" i="1"/>
  <c r="D456" i="1"/>
  <c r="C456" i="1"/>
  <c r="B456" i="1"/>
  <c r="A456" i="1"/>
  <c r="I455" i="1"/>
  <c r="H455" i="1"/>
  <c r="G455" i="1"/>
  <c r="F455" i="1"/>
  <c r="E455" i="1"/>
  <c r="D455" i="1"/>
  <c r="C455" i="1"/>
  <c r="B455" i="1"/>
  <c r="A455" i="1"/>
  <c r="I454" i="1"/>
  <c r="H454" i="1"/>
  <c r="G454" i="1"/>
  <c r="F454" i="1"/>
  <c r="E454" i="1"/>
  <c r="D454" i="1"/>
  <c r="C454" i="1"/>
  <c r="B454" i="1"/>
  <c r="A454" i="1"/>
  <c r="I453" i="1"/>
  <c r="H453" i="1"/>
  <c r="G453" i="1"/>
  <c r="F453" i="1"/>
  <c r="E453" i="1"/>
  <c r="D453" i="1"/>
  <c r="C453" i="1"/>
  <c r="B453" i="1"/>
  <c r="A453" i="1"/>
  <c r="I452" i="1"/>
  <c r="H452" i="1"/>
  <c r="G452" i="1"/>
  <c r="F452" i="1"/>
  <c r="E452" i="1"/>
  <c r="D452" i="1"/>
  <c r="C452" i="1"/>
  <c r="B452" i="1"/>
  <c r="A452" i="1"/>
  <c r="I451" i="1"/>
  <c r="H451" i="1"/>
  <c r="G451" i="1"/>
  <c r="F451" i="1"/>
  <c r="E451" i="1"/>
  <c r="D451" i="1"/>
  <c r="C451" i="1"/>
  <c r="B451" i="1"/>
  <c r="A451" i="1"/>
  <c r="I450" i="1"/>
  <c r="H450" i="1"/>
  <c r="G450" i="1"/>
  <c r="F450" i="1"/>
  <c r="E450" i="1"/>
  <c r="D450" i="1"/>
  <c r="C450" i="1"/>
  <c r="B450" i="1"/>
  <c r="A450" i="1"/>
  <c r="I449" i="1"/>
  <c r="H449" i="1"/>
  <c r="G449" i="1"/>
  <c r="F449" i="1"/>
  <c r="E449" i="1"/>
  <c r="D449" i="1"/>
  <c r="C449" i="1"/>
  <c r="B449" i="1"/>
  <c r="A449" i="1"/>
  <c r="I448" i="1"/>
  <c r="H448" i="1"/>
  <c r="G448" i="1"/>
  <c r="F448" i="1"/>
  <c r="E448" i="1"/>
  <c r="D448" i="1"/>
  <c r="C448" i="1"/>
  <c r="B448" i="1"/>
  <c r="A448" i="1"/>
  <c r="I447" i="1"/>
  <c r="H447" i="1"/>
  <c r="G447" i="1"/>
  <c r="F447" i="1"/>
  <c r="E447" i="1"/>
  <c r="D447" i="1"/>
  <c r="C447" i="1"/>
  <c r="B447" i="1"/>
  <c r="A447" i="1"/>
  <c r="I446" i="1"/>
  <c r="H446" i="1"/>
  <c r="G446" i="1"/>
  <c r="F446" i="1"/>
  <c r="E446" i="1"/>
  <c r="D446" i="1"/>
  <c r="C446" i="1"/>
  <c r="B446" i="1"/>
  <c r="A446" i="1"/>
  <c r="I445" i="1"/>
  <c r="H445" i="1"/>
  <c r="G445" i="1"/>
  <c r="F445" i="1"/>
  <c r="E445" i="1"/>
  <c r="D445" i="1"/>
  <c r="C445" i="1"/>
  <c r="B445" i="1"/>
  <c r="A445" i="1"/>
  <c r="I444" i="1"/>
  <c r="H444" i="1"/>
  <c r="G444" i="1"/>
  <c r="F444" i="1"/>
  <c r="E444" i="1"/>
  <c r="D444" i="1"/>
  <c r="C444" i="1"/>
  <c r="B444" i="1"/>
  <c r="A444" i="1"/>
  <c r="I443" i="1"/>
  <c r="H443" i="1"/>
  <c r="G443" i="1"/>
  <c r="F443" i="1"/>
  <c r="E443" i="1"/>
  <c r="D443" i="1"/>
  <c r="C443" i="1"/>
  <c r="B443" i="1"/>
  <c r="A443" i="1"/>
  <c r="I442" i="1"/>
  <c r="H442" i="1"/>
  <c r="G442" i="1"/>
  <c r="F442" i="1"/>
  <c r="E442" i="1"/>
  <c r="D442" i="1"/>
  <c r="C442" i="1"/>
  <c r="B442" i="1"/>
  <c r="A442" i="1"/>
  <c r="I441" i="1"/>
  <c r="H441" i="1"/>
  <c r="G441" i="1"/>
  <c r="F441" i="1"/>
  <c r="E441" i="1"/>
  <c r="D441" i="1"/>
  <c r="C441" i="1"/>
  <c r="B441" i="1"/>
  <c r="A441" i="1"/>
  <c r="I440" i="1"/>
  <c r="H440" i="1"/>
  <c r="G440" i="1"/>
  <c r="F440" i="1"/>
  <c r="E440" i="1"/>
  <c r="D440" i="1"/>
  <c r="C440" i="1"/>
  <c r="B440" i="1"/>
  <c r="A440" i="1"/>
  <c r="I439" i="1"/>
  <c r="H439" i="1"/>
  <c r="G439" i="1"/>
  <c r="F439" i="1"/>
  <c r="E439" i="1"/>
  <c r="D439" i="1"/>
  <c r="C439" i="1"/>
  <c r="B439" i="1"/>
  <c r="A439" i="1"/>
  <c r="I438" i="1"/>
  <c r="H438" i="1"/>
  <c r="G438" i="1"/>
  <c r="F438" i="1"/>
  <c r="E438" i="1"/>
  <c r="D438" i="1"/>
  <c r="C438" i="1"/>
  <c r="B438" i="1"/>
  <c r="A438" i="1"/>
  <c r="I437" i="1"/>
  <c r="H437" i="1"/>
  <c r="G437" i="1"/>
  <c r="F437" i="1"/>
  <c r="E437" i="1"/>
  <c r="D437" i="1"/>
  <c r="C437" i="1"/>
  <c r="B437" i="1"/>
  <c r="A437" i="1"/>
  <c r="I436" i="1"/>
  <c r="H436" i="1"/>
  <c r="G436" i="1"/>
  <c r="F436" i="1"/>
  <c r="E436" i="1"/>
  <c r="D436" i="1"/>
  <c r="C436" i="1"/>
  <c r="B436" i="1"/>
  <c r="A436" i="1"/>
  <c r="I435" i="1"/>
  <c r="H435" i="1"/>
  <c r="G435" i="1"/>
  <c r="F435" i="1"/>
  <c r="E435" i="1"/>
  <c r="D435" i="1"/>
  <c r="C435" i="1"/>
  <c r="B435" i="1"/>
  <c r="A435" i="1"/>
  <c r="I434" i="1"/>
  <c r="H434" i="1"/>
  <c r="G434" i="1"/>
  <c r="F434" i="1"/>
  <c r="E434" i="1"/>
  <c r="D434" i="1"/>
  <c r="C434" i="1"/>
  <c r="B434" i="1"/>
  <c r="A434" i="1"/>
  <c r="I433" i="1"/>
  <c r="H433" i="1"/>
  <c r="G433" i="1"/>
  <c r="F433" i="1"/>
  <c r="E433" i="1"/>
  <c r="D433" i="1"/>
  <c r="C433" i="1"/>
  <c r="B433" i="1"/>
  <c r="A433" i="1"/>
  <c r="I432" i="1"/>
  <c r="H432" i="1"/>
  <c r="G432" i="1"/>
  <c r="F432" i="1"/>
  <c r="E432" i="1"/>
  <c r="D432" i="1"/>
  <c r="C432" i="1"/>
  <c r="B432" i="1"/>
  <c r="A432" i="1"/>
  <c r="I431" i="1"/>
  <c r="H431" i="1"/>
  <c r="G431" i="1"/>
  <c r="F431" i="1"/>
  <c r="E431" i="1"/>
  <c r="D431" i="1"/>
  <c r="C431" i="1"/>
  <c r="B431" i="1"/>
  <c r="A431" i="1"/>
  <c r="I430" i="1"/>
  <c r="H430" i="1"/>
  <c r="G430" i="1"/>
  <c r="F430" i="1"/>
  <c r="E430" i="1"/>
  <c r="D430" i="1"/>
  <c r="C430" i="1"/>
  <c r="B430" i="1"/>
  <c r="A430" i="1"/>
  <c r="I429" i="1"/>
  <c r="H429" i="1"/>
  <c r="G429" i="1"/>
  <c r="F429" i="1"/>
  <c r="E429" i="1"/>
  <c r="D429" i="1"/>
  <c r="C429" i="1"/>
  <c r="B429" i="1"/>
  <c r="A429" i="1"/>
  <c r="I428" i="1"/>
  <c r="H428" i="1"/>
  <c r="G428" i="1"/>
  <c r="F428" i="1"/>
  <c r="E428" i="1"/>
  <c r="D428" i="1"/>
  <c r="C428" i="1"/>
  <c r="B428" i="1"/>
  <c r="A428" i="1"/>
  <c r="I427" i="1"/>
  <c r="H427" i="1"/>
  <c r="G427" i="1"/>
  <c r="F427" i="1"/>
  <c r="E427" i="1"/>
  <c r="D427" i="1"/>
  <c r="C427" i="1"/>
  <c r="B427" i="1"/>
  <c r="A427" i="1"/>
  <c r="I426" i="1"/>
  <c r="H426" i="1"/>
  <c r="G426" i="1"/>
  <c r="F426" i="1"/>
  <c r="E426" i="1"/>
  <c r="D426" i="1"/>
  <c r="C426" i="1"/>
  <c r="B426" i="1"/>
  <c r="A426" i="1"/>
  <c r="I425" i="1"/>
  <c r="H425" i="1"/>
  <c r="G425" i="1"/>
  <c r="F425" i="1"/>
  <c r="E425" i="1"/>
  <c r="D425" i="1"/>
  <c r="C425" i="1"/>
  <c r="B425" i="1"/>
  <c r="A425" i="1"/>
  <c r="I424" i="1"/>
  <c r="H424" i="1"/>
  <c r="G424" i="1"/>
  <c r="F424" i="1"/>
  <c r="E424" i="1"/>
  <c r="D424" i="1"/>
  <c r="C424" i="1"/>
  <c r="B424" i="1"/>
  <c r="A424" i="1"/>
  <c r="I423" i="1"/>
  <c r="H423" i="1"/>
  <c r="G423" i="1"/>
  <c r="F423" i="1"/>
  <c r="E423" i="1"/>
  <c r="D423" i="1"/>
  <c r="C423" i="1"/>
  <c r="B423" i="1"/>
  <c r="A423" i="1"/>
  <c r="I422" i="1"/>
  <c r="H422" i="1"/>
  <c r="G422" i="1"/>
  <c r="F422" i="1"/>
  <c r="E422" i="1"/>
  <c r="D422" i="1"/>
  <c r="C422" i="1"/>
  <c r="B422" i="1"/>
  <c r="A422" i="1"/>
  <c r="I421" i="1"/>
  <c r="H421" i="1"/>
  <c r="G421" i="1"/>
  <c r="F421" i="1"/>
  <c r="E421" i="1"/>
  <c r="D421" i="1"/>
  <c r="C421" i="1"/>
  <c r="B421" i="1"/>
  <c r="A421" i="1"/>
  <c r="I420" i="1"/>
  <c r="H420" i="1"/>
  <c r="G420" i="1"/>
  <c r="F420" i="1"/>
  <c r="E420" i="1"/>
  <c r="D420" i="1"/>
  <c r="C420" i="1"/>
  <c r="B420" i="1"/>
  <c r="A420" i="1"/>
  <c r="I419" i="1"/>
  <c r="H419" i="1"/>
  <c r="G419" i="1"/>
  <c r="F419" i="1"/>
  <c r="E419" i="1"/>
  <c r="D419" i="1"/>
  <c r="C419" i="1"/>
  <c r="B419" i="1"/>
  <c r="A419" i="1"/>
  <c r="I418" i="1"/>
  <c r="H418" i="1"/>
  <c r="G418" i="1"/>
  <c r="F418" i="1"/>
  <c r="E418" i="1"/>
  <c r="D418" i="1"/>
  <c r="C418" i="1"/>
  <c r="B418" i="1"/>
  <c r="A418" i="1"/>
  <c r="I417" i="1"/>
  <c r="H417" i="1"/>
  <c r="G417" i="1"/>
  <c r="F417" i="1"/>
  <c r="E417" i="1"/>
  <c r="D417" i="1"/>
  <c r="C417" i="1"/>
  <c r="B417" i="1"/>
  <c r="A417" i="1"/>
  <c r="I416" i="1"/>
  <c r="H416" i="1"/>
  <c r="G416" i="1"/>
  <c r="F416" i="1"/>
  <c r="E416" i="1"/>
  <c r="D416" i="1"/>
  <c r="C416" i="1"/>
  <c r="B416" i="1"/>
  <c r="A416" i="1"/>
  <c r="I415" i="1"/>
  <c r="H415" i="1"/>
  <c r="G415" i="1"/>
  <c r="F415" i="1"/>
  <c r="E415" i="1"/>
  <c r="D415" i="1"/>
  <c r="C415" i="1"/>
  <c r="B415" i="1"/>
  <c r="A415" i="1"/>
  <c r="I414" i="1"/>
  <c r="H414" i="1"/>
  <c r="G414" i="1"/>
  <c r="F414" i="1"/>
  <c r="E414" i="1"/>
  <c r="D414" i="1"/>
  <c r="C414" i="1"/>
  <c r="B414" i="1"/>
  <c r="A414" i="1"/>
  <c r="I413" i="1"/>
  <c r="H413" i="1"/>
  <c r="G413" i="1"/>
  <c r="F413" i="1"/>
  <c r="E413" i="1"/>
  <c r="D413" i="1"/>
  <c r="C413" i="1"/>
  <c r="B413" i="1"/>
  <c r="A413" i="1"/>
  <c r="I412" i="1"/>
  <c r="H412" i="1"/>
  <c r="G412" i="1"/>
  <c r="F412" i="1"/>
  <c r="E412" i="1"/>
  <c r="D412" i="1"/>
  <c r="C412" i="1"/>
  <c r="B412" i="1"/>
  <c r="A412" i="1"/>
  <c r="I411" i="1"/>
  <c r="H411" i="1"/>
  <c r="G411" i="1"/>
  <c r="F411" i="1"/>
  <c r="E411" i="1"/>
  <c r="D411" i="1"/>
  <c r="C411" i="1"/>
  <c r="B411" i="1"/>
  <c r="A411" i="1"/>
  <c r="I410" i="1"/>
  <c r="H410" i="1"/>
  <c r="G410" i="1"/>
  <c r="F410" i="1"/>
  <c r="E410" i="1"/>
  <c r="D410" i="1"/>
  <c r="C410" i="1"/>
  <c r="B410" i="1"/>
  <c r="A410" i="1"/>
  <c r="I409" i="1"/>
  <c r="H409" i="1"/>
  <c r="G409" i="1"/>
  <c r="F409" i="1"/>
  <c r="E409" i="1"/>
  <c r="D409" i="1"/>
  <c r="C409" i="1"/>
  <c r="B409" i="1"/>
  <c r="A409" i="1"/>
  <c r="I408" i="1"/>
  <c r="H408" i="1"/>
  <c r="G408" i="1"/>
  <c r="F408" i="1"/>
  <c r="E408" i="1"/>
  <c r="D408" i="1"/>
  <c r="C408" i="1"/>
  <c r="B408" i="1"/>
  <c r="A408" i="1"/>
  <c r="I407" i="1"/>
  <c r="H407" i="1"/>
  <c r="G407" i="1"/>
  <c r="F407" i="1"/>
  <c r="E407" i="1"/>
  <c r="D407" i="1"/>
  <c r="C407" i="1"/>
  <c r="B407" i="1"/>
  <c r="A407" i="1"/>
  <c r="I406" i="1"/>
  <c r="H406" i="1"/>
  <c r="G406" i="1"/>
  <c r="F406" i="1"/>
  <c r="E406" i="1"/>
  <c r="D406" i="1"/>
  <c r="C406" i="1"/>
  <c r="B406" i="1"/>
  <c r="A406" i="1"/>
  <c r="I405" i="1"/>
  <c r="H405" i="1"/>
  <c r="G405" i="1"/>
  <c r="F405" i="1"/>
  <c r="E405" i="1"/>
  <c r="D405" i="1"/>
  <c r="C405" i="1"/>
  <c r="B405" i="1"/>
  <c r="A405" i="1"/>
  <c r="I404" i="1"/>
  <c r="H404" i="1"/>
  <c r="G404" i="1"/>
  <c r="F404" i="1"/>
  <c r="E404" i="1"/>
  <c r="D404" i="1"/>
  <c r="C404" i="1"/>
  <c r="B404" i="1"/>
  <c r="A404" i="1"/>
  <c r="I403" i="1"/>
  <c r="H403" i="1"/>
  <c r="G403" i="1"/>
  <c r="F403" i="1"/>
  <c r="E403" i="1"/>
  <c r="D403" i="1"/>
  <c r="C403" i="1"/>
  <c r="B403" i="1"/>
  <c r="A403" i="1"/>
  <c r="I402" i="1"/>
  <c r="H402" i="1"/>
  <c r="G402" i="1"/>
  <c r="F402" i="1"/>
  <c r="E402" i="1"/>
  <c r="D402" i="1"/>
  <c r="C402" i="1"/>
  <c r="B402" i="1"/>
  <c r="A402" i="1"/>
  <c r="I401" i="1"/>
  <c r="H401" i="1"/>
  <c r="G401" i="1"/>
  <c r="F401" i="1"/>
  <c r="E401" i="1"/>
  <c r="D401" i="1"/>
  <c r="C401" i="1"/>
  <c r="B401" i="1"/>
  <c r="A401" i="1"/>
  <c r="I400" i="1"/>
  <c r="H400" i="1"/>
  <c r="G400" i="1"/>
  <c r="F400" i="1"/>
  <c r="E400" i="1"/>
  <c r="D400" i="1"/>
  <c r="C400" i="1"/>
  <c r="B400" i="1"/>
  <c r="A400" i="1"/>
  <c r="I399" i="1"/>
  <c r="H399" i="1"/>
  <c r="G399" i="1"/>
  <c r="F399" i="1"/>
  <c r="E399" i="1"/>
  <c r="D399" i="1"/>
  <c r="C399" i="1"/>
  <c r="B399" i="1"/>
  <c r="A399" i="1"/>
  <c r="I398" i="1"/>
  <c r="H398" i="1"/>
  <c r="G398" i="1"/>
  <c r="F398" i="1"/>
  <c r="E398" i="1"/>
  <c r="D398" i="1"/>
  <c r="C398" i="1"/>
  <c r="B398" i="1"/>
  <c r="A398" i="1"/>
  <c r="I397" i="1"/>
  <c r="H397" i="1"/>
  <c r="G397" i="1"/>
  <c r="F397" i="1"/>
  <c r="E397" i="1"/>
  <c r="D397" i="1"/>
  <c r="C397" i="1"/>
  <c r="B397" i="1"/>
  <c r="A397" i="1"/>
  <c r="I396" i="1"/>
  <c r="H396" i="1"/>
  <c r="G396" i="1"/>
  <c r="F396" i="1"/>
  <c r="E396" i="1"/>
  <c r="D396" i="1"/>
  <c r="C396" i="1"/>
  <c r="B396" i="1"/>
  <c r="A396" i="1"/>
  <c r="I395" i="1"/>
  <c r="H395" i="1"/>
  <c r="G395" i="1"/>
  <c r="F395" i="1"/>
  <c r="E395" i="1"/>
  <c r="D395" i="1"/>
  <c r="C395" i="1"/>
  <c r="B395" i="1"/>
  <c r="A395" i="1"/>
  <c r="I394" i="1"/>
  <c r="H394" i="1"/>
  <c r="G394" i="1"/>
  <c r="F394" i="1"/>
  <c r="E394" i="1"/>
  <c r="D394" i="1"/>
  <c r="C394" i="1"/>
  <c r="B394" i="1"/>
  <c r="A394" i="1"/>
  <c r="I393" i="1"/>
  <c r="H393" i="1"/>
  <c r="G393" i="1"/>
  <c r="F393" i="1"/>
  <c r="E393" i="1"/>
  <c r="D393" i="1"/>
  <c r="C393" i="1"/>
  <c r="B393" i="1"/>
  <c r="A393" i="1"/>
  <c r="I392" i="1"/>
  <c r="H392" i="1"/>
  <c r="G392" i="1"/>
  <c r="F392" i="1"/>
  <c r="E392" i="1"/>
  <c r="D392" i="1"/>
  <c r="C392" i="1"/>
  <c r="B392" i="1"/>
  <c r="A392" i="1"/>
  <c r="I391" i="1"/>
  <c r="H391" i="1"/>
  <c r="G391" i="1"/>
  <c r="F391" i="1"/>
  <c r="E391" i="1"/>
  <c r="D391" i="1"/>
  <c r="C391" i="1"/>
  <c r="B391" i="1"/>
  <c r="A391" i="1"/>
  <c r="I390" i="1"/>
  <c r="H390" i="1"/>
  <c r="G390" i="1"/>
  <c r="F390" i="1"/>
  <c r="E390" i="1"/>
  <c r="D390" i="1"/>
  <c r="C390" i="1"/>
  <c r="B390" i="1"/>
  <c r="A390" i="1"/>
  <c r="I389" i="1"/>
  <c r="H389" i="1"/>
  <c r="G389" i="1"/>
  <c r="F389" i="1"/>
  <c r="E389" i="1"/>
  <c r="D389" i="1"/>
  <c r="C389" i="1"/>
  <c r="B389" i="1"/>
  <c r="A389" i="1"/>
  <c r="I388" i="1"/>
  <c r="H388" i="1"/>
  <c r="G388" i="1"/>
  <c r="F388" i="1"/>
  <c r="E388" i="1"/>
  <c r="D388" i="1"/>
  <c r="C388" i="1"/>
  <c r="B388" i="1"/>
  <c r="A388" i="1"/>
  <c r="I387" i="1"/>
  <c r="H387" i="1"/>
  <c r="G387" i="1"/>
  <c r="F387" i="1"/>
  <c r="E387" i="1"/>
  <c r="D387" i="1"/>
  <c r="C387" i="1"/>
  <c r="B387" i="1"/>
  <c r="A387" i="1"/>
  <c r="I386" i="1"/>
  <c r="H386" i="1"/>
  <c r="G386" i="1"/>
  <c r="F386" i="1"/>
  <c r="E386" i="1"/>
  <c r="D386" i="1"/>
  <c r="C386" i="1"/>
  <c r="B386" i="1"/>
  <c r="A386" i="1"/>
  <c r="I385" i="1"/>
  <c r="H385" i="1"/>
  <c r="G385" i="1"/>
  <c r="F385" i="1"/>
  <c r="E385" i="1"/>
  <c r="D385" i="1"/>
  <c r="C385" i="1"/>
  <c r="B385" i="1"/>
  <c r="A385" i="1"/>
  <c r="I384" i="1"/>
  <c r="H384" i="1"/>
  <c r="G384" i="1"/>
  <c r="F384" i="1"/>
  <c r="E384" i="1"/>
  <c r="D384" i="1"/>
  <c r="C384" i="1"/>
  <c r="B384" i="1"/>
  <c r="A384" i="1"/>
  <c r="I383" i="1"/>
  <c r="H383" i="1"/>
  <c r="G383" i="1"/>
  <c r="F383" i="1"/>
  <c r="E383" i="1"/>
  <c r="D383" i="1"/>
  <c r="C383" i="1"/>
  <c r="B383" i="1"/>
  <c r="A383" i="1"/>
  <c r="I382" i="1"/>
  <c r="H382" i="1"/>
  <c r="G382" i="1"/>
  <c r="F382" i="1"/>
  <c r="E382" i="1"/>
  <c r="D382" i="1"/>
  <c r="C382" i="1"/>
  <c r="B382" i="1"/>
  <c r="A382" i="1"/>
  <c r="I381" i="1"/>
  <c r="H381" i="1"/>
  <c r="G381" i="1"/>
  <c r="F381" i="1"/>
  <c r="E381" i="1"/>
  <c r="D381" i="1"/>
  <c r="C381" i="1"/>
  <c r="B381" i="1"/>
  <c r="A381" i="1"/>
  <c r="I380" i="1"/>
  <c r="H380" i="1"/>
  <c r="G380" i="1"/>
  <c r="F380" i="1"/>
  <c r="E380" i="1"/>
  <c r="D380" i="1"/>
  <c r="C380" i="1"/>
  <c r="B380" i="1"/>
  <c r="A380" i="1"/>
  <c r="I379" i="1"/>
  <c r="H379" i="1"/>
  <c r="G379" i="1"/>
  <c r="F379" i="1"/>
  <c r="E379" i="1"/>
  <c r="D379" i="1"/>
  <c r="C379" i="1"/>
  <c r="B379" i="1"/>
  <c r="A379" i="1"/>
  <c r="I378" i="1"/>
  <c r="H378" i="1"/>
  <c r="G378" i="1"/>
  <c r="F378" i="1"/>
  <c r="E378" i="1"/>
  <c r="D378" i="1"/>
  <c r="C378" i="1"/>
  <c r="B378" i="1"/>
  <c r="A378" i="1"/>
  <c r="I377" i="1"/>
  <c r="H377" i="1"/>
  <c r="G377" i="1"/>
  <c r="F377" i="1"/>
  <c r="E377" i="1"/>
  <c r="D377" i="1"/>
  <c r="C377" i="1"/>
  <c r="B377" i="1"/>
  <c r="A377" i="1"/>
  <c r="I376" i="1"/>
  <c r="H376" i="1"/>
  <c r="G376" i="1"/>
  <c r="F376" i="1"/>
  <c r="E376" i="1"/>
  <c r="D376" i="1"/>
  <c r="C376" i="1"/>
  <c r="B376" i="1"/>
  <c r="A376" i="1"/>
  <c r="I375" i="1"/>
  <c r="H375" i="1"/>
  <c r="G375" i="1"/>
  <c r="F375" i="1"/>
  <c r="E375" i="1"/>
  <c r="D375" i="1"/>
  <c r="C375" i="1"/>
  <c r="B375" i="1"/>
  <c r="A375" i="1"/>
  <c r="I374" i="1"/>
  <c r="H374" i="1"/>
  <c r="G374" i="1"/>
  <c r="F374" i="1"/>
  <c r="E374" i="1"/>
  <c r="D374" i="1"/>
  <c r="C374" i="1"/>
  <c r="B374" i="1"/>
  <c r="A374" i="1"/>
  <c r="I373" i="1"/>
  <c r="H373" i="1"/>
  <c r="G373" i="1"/>
  <c r="F373" i="1"/>
  <c r="E373" i="1"/>
  <c r="D373" i="1"/>
  <c r="C373" i="1"/>
  <c r="B373" i="1"/>
  <c r="A373" i="1"/>
  <c r="I372" i="1"/>
  <c r="H372" i="1"/>
  <c r="G372" i="1"/>
  <c r="F372" i="1"/>
  <c r="E372" i="1"/>
  <c r="D372" i="1"/>
  <c r="C372" i="1"/>
  <c r="B372" i="1"/>
  <c r="A372" i="1"/>
  <c r="I371" i="1"/>
  <c r="H371" i="1"/>
  <c r="G371" i="1"/>
  <c r="F371" i="1"/>
  <c r="E371" i="1"/>
  <c r="D371" i="1"/>
  <c r="C371" i="1"/>
  <c r="B371" i="1"/>
  <c r="A371" i="1"/>
  <c r="I370" i="1"/>
  <c r="H370" i="1"/>
  <c r="G370" i="1"/>
  <c r="F370" i="1"/>
  <c r="E370" i="1"/>
  <c r="D370" i="1"/>
  <c r="C370" i="1"/>
  <c r="B370" i="1"/>
  <c r="A370" i="1"/>
  <c r="I369" i="1"/>
  <c r="H369" i="1"/>
  <c r="G369" i="1"/>
  <c r="F369" i="1"/>
  <c r="E369" i="1"/>
  <c r="D369" i="1"/>
  <c r="C369" i="1"/>
  <c r="B369" i="1"/>
  <c r="A369" i="1"/>
  <c r="I368" i="1"/>
  <c r="H368" i="1"/>
  <c r="G368" i="1"/>
  <c r="F368" i="1"/>
  <c r="E368" i="1"/>
  <c r="D368" i="1"/>
  <c r="C368" i="1"/>
  <c r="B368" i="1"/>
  <c r="A368" i="1"/>
  <c r="I367" i="1"/>
  <c r="H367" i="1"/>
  <c r="G367" i="1"/>
  <c r="F367" i="1"/>
  <c r="E367" i="1"/>
  <c r="D367" i="1"/>
  <c r="C367" i="1"/>
  <c r="B367" i="1"/>
  <c r="A367" i="1"/>
  <c r="I366" i="1"/>
  <c r="H366" i="1"/>
  <c r="G366" i="1"/>
  <c r="F366" i="1"/>
  <c r="E366" i="1"/>
  <c r="D366" i="1"/>
  <c r="C366" i="1"/>
  <c r="B366" i="1"/>
  <c r="A366" i="1"/>
  <c r="I365" i="1"/>
  <c r="H365" i="1"/>
  <c r="G365" i="1"/>
  <c r="F365" i="1"/>
  <c r="E365" i="1"/>
  <c r="D365" i="1"/>
  <c r="C365" i="1"/>
  <c r="B365" i="1"/>
  <c r="A365" i="1"/>
  <c r="I364" i="1"/>
  <c r="H364" i="1"/>
  <c r="G364" i="1"/>
  <c r="F364" i="1"/>
  <c r="E364" i="1"/>
  <c r="D364" i="1"/>
  <c r="C364" i="1"/>
  <c r="B364" i="1"/>
  <c r="A364" i="1"/>
  <c r="I363" i="1"/>
  <c r="H363" i="1"/>
  <c r="G363" i="1"/>
  <c r="F363" i="1"/>
  <c r="E363" i="1"/>
  <c r="D363" i="1"/>
  <c r="C363" i="1"/>
  <c r="B363" i="1"/>
  <c r="A363" i="1"/>
  <c r="I362" i="1"/>
  <c r="H362" i="1"/>
  <c r="G362" i="1"/>
  <c r="F362" i="1"/>
  <c r="E362" i="1"/>
  <c r="D362" i="1"/>
  <c r="C362" i="1"/>
  <c r="B362" i="1"/>
  <c r="A362" i="1"/>
  <c r="I361" i="1"/>
  <c r="H361" i="1"/>
  <c r="G361" i="1"/>
  <c r="F361" i="1"/>
  <c r="E361" i="1"/>
  <c r="D361" i="1"/>
  <c r="C361" i="1"/>
  <c r="B361" i="1"/>
  <c r="A361" i="1"/>
  <c r="I360" i="1"/>
  <c r="H360" i="1"/>
  <c r="G360" i="1"/>
  <c r="F360" i="1"/>
  <c r="E360" i="1"/>
  <c r="D360" i="1"/>
  <c r="C360" i="1"/>
  <c r="B360" i="1"/>
  <c r="A360" i="1"/>
  <c r="I359" i="1"/>
  <c r="H359" i="1"/>
  <c r="G359" i="1"/>
  <c r="F359" i="1"/>
  <c r="E359" i="1"/>
  <c r="D359" i="1"/>
  <c r="C359" i="1"/>
  <c r="B359" i="1"/>
  <c r="A359" i="1"/>
  <c r="I358" i="1"/>
  <c r="H358" i="1"/>
  <c r="G358" i="1"/>
  <c r="F358" i="1"/>
  <c r="E358" i="1"/>
  <c r="D358" i="1"/>
  <c r="C358" i="1"/>
  <c r="B358" i="1"/>
  <c r="A358" i="1"/>
  <c r="I357" i="1"/>
  <c r="H357" i="1"/>
  <c r="G357" i="1"/>
  <c r="F357" i="1"/>
  <c r="E357" i="1"/>
  <c r="D357" i="1"/>
  <c r="C357" i="1"/>
  <c r="B357" i="1"/>
  <c r="A357" i="1"/>
  <c r="I356" i="1"/>
  <c r="H356" i="1"/>
  <c r="G356" i="1"/>
  <c r="F356" i="1"/>
  <c r="E356" i="1"/>
  <c r="D356" i="1"/>
  <c r="C356" i="1"/>
  <c r="B356" i="1"/>
  <c r="A356" i="1"/>
  <c r="I355" i="1"/>
  <c r="H355" i="1"/>
  <c r="G355" i="1"/>
  <c r="F355" i="1"/>
  <c r="E355" i="1"/>
  <c r="D355" i="1"/>
  <c r="C355" i="1"/>
  <c r="B355" i="1"/>
  <c r="A355" i="1"/>
  <c r="I354" i="1"/>
  <c r="H354" i="1"/>
  <c r="G354" i="1"/>
  <c r="F354" i="1"/>
  <c r="E354" i="1"/>
  <c r="D354" i="1"/>
  <c r="C354" i="1"/>
  <c r="B354" i="1"/>
  <c r="A354" i="1"/>
  <c r="I353" i="1"/>
  <c r="H353" i="1"/>
  <c r="G353" i="1"/>
  <c r="F353" i="1"/>
  <c r="E353" i="1"/>
  <c r="D353" i="1"/>
  <c r="C353" i="1"/>
  <c r="B353" i="1"/>
  <c r="A353" i="1"/>
  <c r="I352" i="1"/>
  <c r="H352" i="1"/>
  <c r="G352" i="1"/>
  <c r="F352" i="1"/>
  <c r="E352" i="1"/>
  <c r="D352" i="1"/>
  <c r="C352" i="1"/>
  <c r="B352" i="1"/>
  <c r="A352" i="1"/>
  <c r="I351" i="1"/>
  <c r="H351" i="1"/>
  <c r="G351" i="1"/>
  <c r="F351" i="1"/>
  <c r="E351" i="1"/>
  <c r="D351" i="1"/>
  <c r="C351" i="1"/>
  <c r="B351" i="1"/>
  <c r="A351" i="1"/>
  <c r="I350" i="1"/>
  <c r="H350" i="1"/>
  <c r="G350" i="1"/>
  <c r="F350" i="1"/>
  <c r="E350" i="1"/>
  <c r="D350" i="1"/>
  <c r="C350" i="1"/>
  <c r="B350" i="1"/>
  <c r="A350" i="1"/>
  <c r="I349" i="1"/>
  <c r="H349" i="1"/>
  <c r="G349" i="1"/>
  <c r="F349" i="1"/>
  <c r="E349" i="1"/>
  <c r="D349" i="1"/>
  <c r="C349" i="1"/>
  <c r="B349" i="1"/>
  <c r="A349" i="1"/>
  <c r="I348" i="1"/>
  <c r="H348" i="1"/>
  <c r="G348" i="1"/>
  <c r="F348" i="1"/>
  <c r="E348" i="1"/>
  <c r="D348" i="1"/>
  <c r="C348" i="1"/>
  <c r="B348" i="1"/>
  <c r="A348" i="1"/>
  <c r="I347" i="1"/>
  <c r="H347" i="1"/>
  <c r="G347" i="1"/>
  <c r="F347" i="1"/>
  <c r="E347" i="1"/>
  <c r="D347" i="1"/>
  <c r="C347" i="1"/>
  <c r="B347" i="1"/>
  <c r="A347" i="1"/>
  <c r="I346" i="1"/>
  <c r="H346" i="1"/>
  <c r="G346" i="1"/>
  <c r="F346" i="1"/>
  <c r="E346" i="1"/>
  <c r="D346" i="1"/>
  <c r="C346" i="1"/>
  <c r="B346" i="1"/>
  <c r="A346" i="1"/>
  <c r="I345" i="1"/>
  <c r="H345" i="1"/>
  <c r="G345" i="1"/>
  <c r="F345" i="1"/>
  <c r="E345" i="1"/>
  <c r="D345" i="1"/>
  <c r="C345" i="1"/>
  <c r="B345" i="1"/>
  <c r="A345" i="1"/>
  <c r="I344" i="1"/>
  <c r="H344" i="1"/>
  <c r="G344" i="1"/>
  <c r="F344" i="1"/>
  <c r="E344" i="1"/>
  <c r="D344" i="1"/>
  <c r="C344" i="1"/>
  <c r="B344" i="1"/>
  <c r="A344" i="1"/>
  <c r="I343" i="1"/>
  <c r="H343" i="1"/>
  <c r="G343" i="1"/>
  <c r="F343" i="1"/>
  <c r="E343" i="1"/>
  <c r="D343" i="1"/>
  <c r="C343" i="1"/>
  <c r="B343" i="1"/>
  <c r="A343" i="1"/>
  <c r="I342" i="1"/>
  <c r="H342" i="1"/>
  <c r="G342" i="1"/>
  <c r="F342" i="1"/>
  <c r="E342" i="1"/>
  <c r="D342" i="1"/>
  <c r="C342" i="1"/>
  <c r="B342" i="1"/>
  <c r="A342" i="1"/>
  <c r="I341" i="1"/>
  <c r="H341" i="1"/>
  <c r="G341" i="1"/>
  <c r="F341" i="1"/>
  <c r="E341" i="1"/>
  <c r="D341" i="1"/>
  <c r="C341" i="1"/>
  <c r="B341" i="1"/>
  <c r="A341" i="1"/>
  <c r="I340" i="1"/>
  <c r="H340" i="1"/>
  <c r="G340" i="1"/>
  <c r="F340" i="1"/>
  <c r="E340" i="1"/>
  <c r="D340" i="1"/>
  <c r="C340" i="1"/>
  <c r="B340" i="1"/>
  <c r="A340" i="1"/>
  <c r="I339" i="1"/>
  <c r="H339" i="1"/>
  <c r="G339" i="1"/>
  <c r="F339" i="1"/>
  <c r="E339" i="1"/>
  <c r="D339" i="1"/>
  <c r="C339" i="1"/>
  <c r="B339" i="1"/>
  <c r="A339" i="1"/>
  <c r="I338" i="1"/>
  <c r="H338" i="1"/>
  <c r="G338" i="1"/>
  <c r="F338" i="1"/>
  <c r="E338" i="1"/>
  <c r="D338" i="1"/>
  <c r="C338" i="1"/>
  <c r="B338" i="1"/>
  <c r="A338" i="1"/>
  <c r="I337" i="1"/>
  <c r="H337" i="1"/>
  <c r="G337" i="1"/>
  <c r="F337" i="1"/>
  <c r="E337" i="1"/>
  <c r="D337" i="1"/>
  <c r="C337" i="1"/>
  <c r="B337" i="1"/>
  <c r="A337" i="1"/>
  <c r="I336" i="1"/>
  <c r="H336" i="1"/>
  <c r="G336" i="1"/>
  <c r="F336" i="1"/>
  <c r="E336" i="1"/>
  <c r="D336" i="1"/>
  <c r="C336" i="1"/>
  <c r="B336" i="1"/>
  <c r="A336" i="1"/>
  <c r="I335" i="1"/>
  <c r="H335" i="1"/>
  <c r="G335" i="1"/>
  <c r="F335" i="1"/>
  <c r="E335" i="1"/>
  <c r="D335" i="1"/>
  <c r="C335" i="1"/>
  <c r="B335" i="1"/>
  <c r="A335" i="1"/>
  <c r="I334" i="1"/>
  <c r="H334" i="1"/>
  <c r="G334" i="1"/>
  <c r="F334" i="1"/>
  <c r="E334" i="1"/>
  <c r="D334" i="1"/>
  <c r="C334" i="1"/>
  <c r="B334" i="1"/>
  <c r="A334" i="1"/>
  <c r="I333" i="1"/>
  <c r="H333" i="1"/>
  <c r="G333" i="1"/>
  <c r="F333" i="1"/>
  <c r="E333" i="1"/>
  <c r="D333" i="1"/>
  <c r="C333" i="1"/>
  <c r="B333" i="1"/>
  <c r="A333" i="1"/>
  <c r="I332" i="1"/>
  <c r="H332" i="1"/>
  <c r="G332" i="1"/>
  <c r="F332" i="1"/>
  <c r="E332" i="1"/>
  <c r="D332" i="1"/>
  <c r="C332" i="1"/>
  <c r="B332" i="1"/>
  <c r="A332" i="1"/>
  <c r="I331" i="1"/>
  <c r="H331" i="1"/>
  <c r="G331" i="1"/>
  <c r="F331" i="1"/>
  <c r="E331" i="1"/>
  <c r="D331" i="1"/>
  <c r="C331" i="1"/>
  <c r="B331" i="1"/>
  <c r="A331" i="1"/>
  <c r="I330" i="1"/>
  <c r="H330" i="1"/>
  <c r="G330" i="1"/>
  <c r="F330" i="1"/>
  <c r="E330" i="1"/>
  <c r="D330" i="1"/>
  <c r="C330" i="1"/>
  <c r="B330" i="1"/>
  <c r="A330" i="1"/>
  <c r="I329" i="1"/>
  <c r="H329" i="1"/>
  <c r="G329" i="1"/>
  <c r="F329" i="1"/>
  <c r="E329" i="1"/>
  <c r="D329" i="1"/>
  <c r="C329" i="1"/>
  <c r="B329" i="1"/>
  <c r="A329" i="1"/>
  <c r="I328" i="1"/>
  <c r="H328" i="1"/>
  <c r="G328" i="1"/>
  <c r="F328" i="1"/>
  <c r="E328" i="1"/>
  <c r="D328" i="1"/>
  <c r="C328" i="1"/>
  <c r="B328" i="1"/>
  <c r="A328" i="1"/>
  <c r="I327" i="1"/>
  <c r="H327" i="1"/>
  <c r="G327" i="1"/>
  <c r="F327" i="1"/>
  <c r="E327" i="1"/>
  <c r="D327" i="1"/>
  <c r="C327" i="1"/>
  <c r="B327" i="1"/>
  <c r="A327" i="1"/>
  <c r="I326" i="1"/>
  <c r="H326" i="1"/>
  <c r="G326" i="1"/>
  <c r="F326" i="1"/>
  <c r="E326" i="1"/>
  <c r="D326" i="1"/>
  <c r="C326" i="1"/>
  <c r="B326" i="1"/>
  <c r="A326" i="1"/>
  <c r="I325" i="1"/>
  <c r="H325" i="1"/>
  <c r="G325" i="1"/>
  <c r="F325" i="1"/>
  <c r="E325" i="1"/>
  <c r="D325" i="1"/>
  <c r="C325" i="1"/>
  <c r="B325" i="1"/>
  <c r="A325" i="1"/>
  <c r="I324" i="1"/>
  <c r="H324" i="1"/>
  <c r="G324" i="1"/>
  <c r="F324" i="1"/>
  <c r="E324" i="1"/>
  <c r="D324" i="1"/>
  <c r="C324" i="1"/>
  <c r="B324" i="1"/>
  <c r="A324" i="1"/>
  <c r="I323" i="1"/>
  <c r="H323" i="1"/>
  <c r="G323" i="1"/>
  <c r="F323" i="1"/>
  <c r="E323" i="1"/>
  <c r="D323" i="1"/>
  <c r="C323" i="1"/>
  <c r="B323" i="1"/>
  <c r="A323" i="1"/>
  <c r="I322" i="1"/>
  <c r="H322" i="1"/>
  <c r="G322" i="1"/>
  <c r="F322" i="1"/>
  <c r="E322" i="1"/>
  <c r="D322" i="1"/>
  <c r="C322" i="1"/>
  <c r="B322" i="1"/>
  <c r="A322" i="1"/>
  <c r="I321" i="1"/>
  <c r="H321" i="1"/>
  <c r="G321" i="1"/>
  <c r="F321" i="1"/>
  <c r="E321" i="1"/>
  <c r="D321" i="1"/>
  <c r="C321" i="1"/>
  <c r="B321" i="1"/>
  <c r="A321" i="1"/>
  <c r="I320" i="1"/>
  <c r="H320" i="1"/>
  <c r="G320" i="1"/>
  <c r="F320" i="1"/>
  <c r="E320" i="1"/>
  <c r="D320" i="1"/>
  <c r="C320" i="1"/>
  <c r="B320" i="1"/>
  <c r="A320" i="1"/>
  <c r="I319" i="1"/>
  <c r="H319" i="1"/>
  <c r="G319" i="1"/>
  <c r="F319" i="1"/>
  <c r="E319" i="1"/>
  <c r="D319" i="1"/>
  <c r="C319" i="1"/>
  <c r="B319" i="1"/>
  <c r="A319" i="1"/>
  <c r="I318" i="1"/>
  <c r="H318" i="1"/>
  <c r="G318" i="1"/>
  <c r="F318" i="1"/>
  <c r="E318" i="1"/>
  <c r="D318" i="1"/>
  <c r="C318" i="1"/>
  <c r="B318" i="1"/>
  <c r="A318" i="1"/>
  <c r="I317" i="1"/>
  <c r="H317" i="1"/>
  <c r="G317" i="1"/>
  <c r="F317" i="1"/>
  <c r="E317" i="1"/>
  <c r="D317" i="1"/>
  <c r="C317" i="1"/>
  <c r="B317" i="1"/>
  <c r="A317" i="1"/>
  <c r="I316" i="1"/>
  <c r="H316" i="1"/>
  <c r="G316" i="1"/>
  <c r="F316" i="1"/>
  <c r="E316" i="1"/>
  <c r="D316" i="1"/>
  <c r="C316" i="1"/>
  <c r="B316" i="1"/>
  <c r="A316" i="1"/>
  <c r="I315" i="1"/>
  <c r="H315" i="1"/>
  <c r="G315" i="1"/>
  <c r="F315" i="1"/>
  <c r="E315" i="1"/>
  <c r="D315" i="1"/>
  <c r="C315" i="1"/>
  <c r="B315" i="1"/>
  <c r="A315" i="1"/>
  <c r="I314" i="1"/>
  <c r="H314" i="1"/>
  <c r="G314" i="1"/>
  <c r="F314" i="1"/>
  <c r="E314" i="1"/>
  <c r="D314" i="1"/>
  <c r="C314" i="1"/>
  <c r="B314" i="1"/>
  <c r="A314" i="1"/>
  <c r="I313" i="1"/>
  <c r="H313" i="1"/>
  <c r="G313" i="1"/>
  <c r="F313" i="1"/>
  <c r="E313" i="1"/>
  <c r="D313" i="1"/>
  <c r="C313" i="1"/>
  <c r="B313" i="1"/>
  <c r="A313" i="1"/>
  <c r="I312" i="1"/>
  <c r="H312" i="1"/>
  <c r="G312" i="1"/>
  <c r="F312" i="1"/>
  <c r="E312" i="1"/>
  <c r="D312" i="1"/>
  <c r="C312" i="1"/>
  <c r="B312" i="1"/>
  <c r="A312" i="1"/>
  <c r="I311" i="1"/>
  <c r="H311" i="1"/>
  <c r="G311" i="1"/>
  <c r="F311" i="1"/>
  <c r="E311" i="1"/>
  <c r="D311" i="1"/>
  <c r="C311" i="1"/>
  <c r="B311" i="1"/>
  <c r="A311" i="1"/>
  <c r="I310" i="1"/>
  <c r="H310" i="1"/>
  <c r="G310" i="1"/>
  <c r="F310" i="1"/>
  <c r="E310" i="1"/>
  <c r="D310" i="1"/>
  <c r="C310" i="1"/>
  <c r="B310" i="1"/>
  <c r="A310" i="1"/>
  <c r="I309" i="1"/>
  <c r="H309" i="1"/>
  <c r="G309" i="1"/>
  <c r="F309" i="1"/>
  <c r="E309" i="1"/>
  <c r="D309" i="1"/>
  <c r="C309" i="1"/>
  <c r="B309" i="1"/>
  <c r="A309" i="1"/>
  <c r="I308" i="1"/>
  <c r="H308" i="1"/>
  <c r="G308" i="1"/>
  <c r="F308" i="1"/>
  <c r="E308" i="1"/>
  <c r="D308" i="1"/>
  <c r="C308" i="1"/>
  <c r="B308" i="1"/>
  <c r="A308" i="1"/>
  <c r="I307" i="1"/>
  <c r="H307" i="1"/>
  <c r="G307" i="1"/>
  <c r="F307" i="1"/>
  <c r="E307" i="1"/>
  <c r="D307" i="1"/>
  <c r="C307" i="1"/>
  <c r="B307" i="1"/>
  <c r="A307" i="1"/>
  <c r="I306" i="1"/>
  <c r="H306" i="1"/>
  <c r="G306" i="1"/>
  <c r="F306" i="1"/>
  <c r="E306" i="1"/>
  <c r="D306" i="1"/>
  <c r="C306" i="1"/>
  <c r="B306" i="1"/>
  <c r="A306" i="1"/>
  <c r="I305" i="1"/>
  <c r="H305" i="1"/>
  <c r="G305" i="1"/>
  <c r="F305" i="1"/>
  <c r="E305" i="1"/>
  <c r="D305" i="1"/>
  <c r="C305" i="1"/>
  <c r="B305" i="1"/>
  <c r="A305" i="1"/>
  <c r="I304" i="1"/>
  <c r="H304" i="1"/>
  <c r="G304" i="1"/>
  <c r="F304" i="1"/>
  <c r="E304" i="1"/>
  <c r="D304" i="1"/>
  <c r="C304" i="1"/>
  <c r="B304" i="1"/>
  <c r="A304" i="1"/>
  <c r="I303" i="1"/>
  <c r="H303" i="1"/>
  <c r="G303" i="1"/>
  <c r="F303" i="1"/>
  <c r="E303" i="1"/>
  <c r="D303" i="1"/>
  <c r="C303" i="1"/>
  <c r="B303" i="1"/>
  <c r="A303" i="1"/>
  <c r="I302" i="1"/>
  <c r="H302" i="1"/>
  <c r="G302" i="1"/>
  <c r="F302" i="1"/>
  <c r="E302" i="1"/>
  <c r="D302" i="1"/>
  <c r="C302" i="1"/>
  <c r="B302" i="1"/>
  <c r="A302" i="1"/>
  <c r="I301" i="1"/>
  <c r="H301" i="1"/>
  <c r="G301" i="1"/>
  <c r="F301" i="1"/>
  <c r="E301" i="1"/>
  <c r="D301" i="1"/>
  <c r="C301" i="1"/>
  <c r="B301" i="1"/>
  <c r="A301" i="1"/>
  <c r="I300" i="1"/>
  <c r="H300" i="1"/>
  <c r="G300" i="1"/>
  <c r="F300" i="1"/>
  <c r="E300" i="1"/>
  <c r="D300" i="1"/>
  <c r="C300" i="1"/>
  <c r="B300" i="1"/>
  <c r="A300" i="1"/>
  <c r="I299" i="1"/>
  <c r="H299" i="1"/>
  <c r="G299" i="1"/>
  <c r="F299" i="1"/>
  <c r="E299" i="1"/>
  <c r="D299" i="1"/>
  <c r="C299" i="1"/>
  <c r="B299" i="1"/>
  <c r="A299" i="1"/>
  <c r="I298" i="1"/>
  <c r="H298" i="1"/>
  <c r="G298" i="1"/>
  <c r="F298" i="1"/>
  <c r="E298" i="1"/>
  <c r="D298" i="1"/>
  <c r="C298" i="1"/>
  <c r="B298" i="1"/>
  <c r="A298" i="1"/>
  <c r="I297" i="1"/>
  <c r="H297" i="1"/>
  <c r="G297" i="1"/>
  <c r="F297" i="1"/>
  <c r="E297" i="1"/>
  <c r="D297" i="1"/>
  <c r="C297" i="1"/>
  <c r="B297" i="1"/>
  <c r="A297" i="1"/>
  <c r="I296" i="1"/>
  <c r="H296" i="1"/>
  <c r="G296" i="1"/>
  <c r="F296" i="1"/>
  <c r="E296" i="1"/>
  <c r="D296" i="1"/>
  <c r="C296" i="1"/>
  <c r="B296" i="1"/>
  <c r="A296" i="1"/>
  <c r="I295" i="1"/>
  <c r="H295" i="1"/>
  <c r="G295" i="1"/>
  <c r="F295" i="1"/>
  <c r="E295" i="1"/>
  <c r="D295" i="1"/>
  <c r="C295" i="1"/>
  <c r="B295" i="1"/>
  <c r="A295" i="1"/>
  <c r="I294" i="1"/>
  <c r="H294" i="1"/>
  <c r="G294" i="1"/>
  <c r="F294" i="1"/>
  <c r="E294" i="1"/>
  <c r="D294" i="1"/>
  <c r="C294" i="1"/>
  <c r="B294" i="1"/>
  <c r="A294" i="1"/>
  <c r="I293" i="1"/>
  <c r="H293" i="1"/>
  <c r="G293" i="1"/>
  <c r="F293" i="1"/>
  <c r="E293" i="1"/>
  <c r="D293" i="1"/>
  <c r="C293" i="1"/>
  <c r="B293" i="1"/>
  <c r="A293" i="1"/>
  <c r="I292" i="1"/>
  <c r="H292" i="1"/>
  <c r="G292" i="1"/>
  <c r="F292" i="1"/>
  <c r="E292" i="1"/>
  <c r="D292" i="1"/>
  <c r="C292" i="1"/>
  <c r="B292" i="1"/>
  <c r="A292" i="1"/>
  <c r="I291" i="1"/>
  <c r="H291" i="1"/>
  <c r="G291" i="1"/>
  <c r="F291" i="1"/>
  <c r="E291" i="1"/>
  <c r="D291" i="1"/>
  <c r="C291" i="1"/>
  <c r="B291" i="1"/>
  <c r="A291" i="1"/>
  <c r="I290" i="1"/>
  <c r="H290" i="1"/>
  <c r="G290" i="1"/>
  <c r="F290" i="1"/>
  <c r="E290" i="1"/>
  <c r="D290" i="1"/>
  <c r="C290" i="1"/>
  <c r="B290" i="1"/>
  <c r="A290" i="1"/>
  <c r="I289" i="1"/>
  <c r="H289" i="1"/>
  <c r="G289" i="1"/>
  <c r="F289" i="1"/>
  <c r="E289" i="1"/>
  <c r="D289" i="1"/>
  <c r="C289" i="1"/>
  <c r="B289" i="1"/>
  <c r="A289" i="1"/>
  <c r="I288" i="1"/>
  <c r="H288" i="1"/>
  <c r="G288" i="1"/>
  <c r="F288" i="1"/>
  <c r="E288" i="1"/>
  <c r="D288" i="1"/>
  <c r="C288" i="1"/>
  <c r="B288" i="1"/>
  <c r="A288" i="1"/>
  <c r="I287" i="1"/>
  <c r="H287" i="1"/>
  <c r="G287" i="1"/>
  <c r="F287" i="1"/>
  <c r="E287" i="1"/>
  <c r="D287" i="1"/>
  <c r="C287" i="1"/>
  <c r="B287" i="1"/>
  <c r="A287" i="1"/>
  <c r="I286" i="1"/>
  <c r="H286" i="1"/>
  <c r="G286" i="1"/>
  <c r="F286" i="1"/>
  <c r="E286" i="1"/>
  <c r="D286" i="1"/>
  <c r="C286" i="1"/>
  <c r="B286" i="1"/>
  <c r="A286" i="1"/>
  <c r="I285" i="1"/>
  <c r="H285" i="1"/>
  <c r="G285" i="1"/>
  <c r="F285" i="1"/>
  <c r="E285" i="1"/>
  <c r="D285" i="1"/>
  <c r="C285" i="1"/>
  <c r="B285" i="1"/>
  <c r="A285" i="1"/>
  <c r="I284" i="1"/>
  <c r="H284" i="1"/>
  <c r="G284" i="1"/>
  <c r="F284" i="1"/>
  <c r="E284" i="1"/>
  <c r="D284" i="1"/>
  <c r="C284" i="1"/>
  <c r="B284" i="1"/>
  <c r="A284" i="1"/>
  <c r="I283" i="1"/>
  <c r="H283" i="1"/>
  <c r="G283" i="1"/>
  <c r="F283" i="1"/>
  <c r="E283" i="1"/>
  <c r="D283" i="1"/>
  <c r="C283" i="1"/>
  <c r="B283" i="1"/>
  <c r="A283" i="1"/>
  <c r="I282" i="1"/>
  <c r="H282" i="1"/>
  <c r="G282" i="1"/>
  <c r="F282" i="1"/>
  <c r="E282" i="1"/>
  <c r="D282" i="1"/>
  <c r="C282" i="1"/>
  <c r="B282" i="1"/>
  <c r="A282" i="1"/>
  <c r="I281" i="1"/>
  <c r="H281" i="1"/>
  <c r="G281" i="1"/>
  <c r="F281" i="1"/>
  <c r="E281" i="1"/>
  <c r="D281" i="1"/>
  <c r="C281" i="1"/>
  <c r="B281" i="1"/>
  <c r="A281" i="1"/>
  <c r="I280" i="1"/>
  <c r="H280" i="1"/>
  <c r="G280" i="1"/>
  <c r="F280" i="1"/>
  <c r="E280" i="1"/>
  <c r="D280" i="1"/>
  <c r="C280" i="1"/>
  <c r="B280" i="1"/>
  <c r="A280" i="1"/>
  <c r="I279" i="1"/>
  <c r="H279" i="1"/>
  <c r="G279" i="1"/>
  <c r="F279" i="1"/>
  <c r="E279" i="1"/>
  <c r="D279" i="1"/>
  <c r="C279" i="1"/>
  <c r="B279" i="1"/>
  <c r="A279" i="1"/>
  <c r="I278" i="1"/>
  <c r="H278" i="1"/>
  <c r="G278" i="1"/>
  <c r="F278" i="1"/>
  <c r="E278" i="1"/>
  <c r="D278" i="1"/>
  <c r="C278" i="1"/>
  <c r="B278" i="1"/>
  <c r="A278" i="1"/>
  <c r="I277" i="1"/>
  <c r="H277" i="1"/>
  <c r="G277" i="1"/>
  <c r="F277" i="1"/>
  <c r="E277" i="1"/>
  <c r="D277" i="1"/>
  <c r="C277" i="1"/>
  <c r="B277" i="1"/>
  <c r="A277" i="1"/>
  <c r="I276" i="1"/>
  <c r="H276" i="1"/>
  <c r="G276" i="1"/>
  <c r="F276" i="1"/>
  <c r="E276" i="1"/>
  <c r="D276" i="1"/>
  <c r="C276" i="1"/>
  <c r="B276" i="1"/>
  <c r="A276" i="1"/>
  <c r="G275" i="1"/>
  <c r="F275" i="1"/>
  <c r="D275" i="1"/>
  <c r="C275" i="1"/>
  <c r="B275" i="1"/>
  <c r="A275" i="1"/>
  <c r="G274" i="1"/>
  <c r="F274" i="1"/>
  <c r="D274" i="1"/>
  <c r="C274" i="1"/>
  <c r="B274" i="1"/>
  <c r="A274" i="1"/>
  <c r="G273" i="1"/>
  <c r="F273" i="1"/>
  <c r="D273" i="1"/>
  <c r="C273" i="1"/>
  <c r="B273" i="1"/>
  <c r="A273" i="1"/>
  <c r="G272" i="1"/>
  <c r="F272" i="1"/>
  <c r="D272" i="1"/>
  <c r="C272" i="1"/>
  <c r="B272" i="1"/>
  <c r="A272" i="1"/>
  <c r="G271" i="1"/>
  <c r="F271" i="1"/>
  <c r="D271" i="1"/>
  <c r="C271" i="1"/>
  <c r="B271" i="1"/>
  <c r="A271" i="1"/>
  <c r="G270" i="1"/>
  <c r="F270" i="1"/>
  <c r="D270" i="1"/>
  <c r="C270" i="1"/>
  <c r="B270" i="1"/>
  <c r="A270" i="1"/>
  <c r="G269" i="1"/>
  <c r="F269" i="1"/>
  <c r="D269" i="1"/>
  <c r="C269" i="1"/>
  <c r="B269" i="1"/>
  <c r="A269" i="1"/>
  <c r="G268" i="1"/>
  <c r="F268" i="1"/>
  <c r="D268" i="1"/>
  <c r="C268" i="1"/>
  <c r="B268" i="1"/>
  <c r="A268" i="1"/>
  <c r="G267" i="1"/>
  <c r="F267" i="1"/>
  <c r="D267" i="1"/>
  <c r="C267" i="1"/>
  <c r="B267" i="1"/>
  <c r="A267" i="1"/>
  <c r="G266" i="1"/>
  <c r="F266" i="1"/>
  <c r="D266" i="1"/>
  <c r="C266" i="1"/>
  <c r="B266" i="1"/>
  <c r="A266" i="1"/>
  <c r="G265" i="1"/>
  <c r="F265" i="1"/>
  <c r="D265" i="1"/>
  <c r="C265" i="1"/>
  <c r="B265" i="1"/>
  <c r="A265" i="1"/>
  <c r="G264" i="1"/>
  <c r="F264" i="1"/>
  <c r="D264" i="1"/>
  <c r="C264" i="1"/>
  <c r="B264" i="1"/>
  <c r="A264" i="1"/>
  <c r="G263" i="1"/>
  <c r="F263" i="1"/>
  <c r="D263" i="1"/>
  <c r="C263" i="1"/>
  <c r="B263" i="1"/>
  <c r="A263" i="1"/>
  <c r="G262" i="1"/>
  <c r="F262" i="1"/>
  <c r="D262" i="1"/>
  <c r="C262" i="1"/>
  <c r="B262" i="1"/>
  <c r="A262" i="1"/>
  <c r="G261" i="1"/>
  <c r="F261" i="1"/>
  <c r="D261" i="1"/>
  <c r="C261" i="1"/>
  <c r="B261" i="1"/>
  <c r="A261" i="1"/>
  <c r="G260" i="1"/>
  <c r="F260" i="1"/>
  <c r="D260" i="1"/>
  <c r="C260" i="1"/>
  <c r="B260" i="1"/>
  <c r="A260" i="1"/>
  <c r="G259" i="1"/>
  <c r="F259" i="1"/>
  <c r="D259" i="1"/>
  <c r="C259" i="1"/>
  <c r="B259" i="1"/>
  <c r="A259" i="1"/>
  <c r="G258" i="1"/>
  <c r="F258" i="1"/>
  <c r="D258" i="1"/>
  <c r="C258" i="1"/>
  <c r="B258" i="1"/>
  <c r="A258" i="1"/>
  <c r="G257" i="1"/>
  <c r="F257" i="1"/>
  <c r="D257" i="1"/>
  <c r="C257" i="1"/>
  <c r="B257" i="1"/>
  <c r="A257" i="1"/>
  <c r="G256" i="1"/>
  <c r="F256" i="1"/>
  <c r="D256" i="1"/>
  <c r="C256" i="1"/>
  <c r="B256" i="1"/>
  <c r="A256" i="1"/>
  <c r="G255" i="1"/>
  <c r="F255" i="1"/>
  <c r="D255" i="1"/>
  <c r="C255" i="1"/>
  <c r="B255" i="1"/>
  <c r="A255" i="1"/>
  <c r="G254" i="1"/>
  <c r="F254" i="1"/>
  <c r="D254" i="1"/>
  <c r="C254" i="1"/>
  <c r="B254" i="1"/>
  <c r="A254" i="1"/>
  <c r="G253" i="1"/>
  <c r="F253" i="1"/>
  <c r="D253" i="1"/>
  <c r="C253" i="1"/>
  <c r="B253" i="1"/>
  <c r="A253" i="1"/>
  <c r="G252" i="1"/>
  <c r="F252" i="1"/>
  <c r="D252" i="1"/>
  <c r="C252" i="1"/>
  <c r="B252" i="1"/>
  <c r="A252" i="1"/>
  <c r="G251" i="1"/>
  <c r="F251" i="1"/>
  <c r="D251" i="1"/>
  <c r="C251" i="1"/>
  <c r="B251" i="1"/>
  <c r="A251" i="1"/>
  <c r="G250" i="1"/>
  <c r="F250" i="1"/>
  <c r="D250" i="1"/>
  <c r="C250" i="1"/>
  <c r="B250" i="1"/>
  <c r="A250" i="1"/>
  <c r="G249" i="1"/>
  <c r="F249" i="1"/>
  <c r="D249" i="1"/>
  <c r="C249" i="1"/>
  <c r="B249" i="1"/>
  <c r="A249" i="1"/>
  <c r="G248" i="1"/>
  <c r="F248" i="1"/>
  <c r="D248" i="1"/>
  <c r="C248" i="1"/>
  <c r="B248" i="1"/>
  <c r="A248" i="1"/>
  <c r="G247" i="1"/>
  <c r="F247" i="1"/>
  <c r="D247" i="1"/>
  <c r="C247" i="1"/>
  <c r="B247" i="1"/>
  <c r="A247" i="1"/>
  <c r="G246" i="1"/>
  <c r="F246" i="1"/>
  <c r="D246" i="1"/>
  <c r="C246" i="1"/>
  <c r="B246" i="1"/>
  <c r="A246" i="1"/>
  <c r="G245" i="1"/>
  <c r="F245" i="1"/>
  <c r="D245" i="1"/>
  <c r="C245" i="1"/>
  <c r="B245" i="1"/>
  <c r="A245" i="1"/>
  <c r="G244" i="1"/>
  <c r="F244" i="1"/>
  <c r="D244" i="1"/>
  <c r="C244" i="1"/>
  <c r="B244" i="1"/>
  <c r="A244" i="1"/>
  <c r="G243" i="1"/>
  <c r="F243" i="1"/>
  <c r="D243" i="1"/>
  <c r="C243" i="1"/>
  <c r="B243" i="1"/>
  <c r="A243" i="1"/>
  <c r="G242" i="1"/>
  <c r="F242" i="1"/>
  <c r="D242" i="1"/>
  <c r="C242" i="1"/>
  <c r="B242" i="1"/>
  <c r="A242" i="1"/>
  <c r="G241" i="1"/>
  <c r="F241" i="1"/>
  <c r="D241" i="1"/>
  <c r="C241" i="1"/>
  <c r="B241" i="1"/>
  <c r="A241" i="1"/>
  <c r="G240" i="1"/>
  <c r="F240" i="1"/>
  <c r="D240" i="1"/>
  <c r="C240" i="1"/>
  <c r="B240" i="1"/>
  <c r="A240" i="1"/>
  <c r="G239" i="1"/>
  <c r="F239" i="1"/>
  <c r="D239" i="1"/>
  <c r="C239" i="1"/>
  <c r="B239" i="1"/>
  <c r="A239" i="1"/>
  <c r="G238" i="1"/>
  <c r="F238" i="1"/>
  <c r="D238" i="1"/>
  <c r="C238" i="1"/>
  <c r="B238" i="1"/>
  <c r="A238" i="1"/>
  <c r="G237" i="1"/>
  <c r="F237" i="1"/>
  <c r="D237" i="1"/>
  <c r="C237" i="1"/>
  <c r="B237" i="1"/>
  <c r="A237" i="1"/>
  <c r="G236" i="1"/>
  <c r="F236" i="1"/>
  <c r="D236" i="1"/>
  <c r="C236" i="1"/>
  <c r="B236" i="1"/>
  <c r="A236" i="1"/>
  <c r="G235" i="1"/>
  <c r="F235" i="1"/>
  <c r="D235" i="1"/>
  <c r="C235" i="1"/>
  <c r="B235" i="1"/>
  <c r="A235" i="1"/>
  <c r="G234" i="1"/>
  <c r="F234" i="1"/>
  <c r="D234" i="1"/>
  <c r="C234" i="1"/>
  <c r="B234" i="1"/>
  <c r="A234" i="1"/>
  <c r="G233" i="1"/>
  <c r="F233" i="1"/>
  <c r="D233" i="1"/>
  <c r="C233" i="1"/>
  <c r="B233" i="1"/>
  <c r="A233" i="1"/>
  <c r="G232" i="1"/>
  <c r="F232" i="1"/>
  <c r="D232" i="1"/>
  <c r="C232" i="1"/>
  <c r="B232" i="1"/>
  <c r="A232" i="1"/>
  <c r="G231" i="1"/>
  <c r="F231" i="1"/>
  <c r="D231" i="1"/>
  <c r="C231" i="1"/>
  <c r="B231" i="1"/>
  <c r="A231" i="1"/>
  <c r="G230" i="1"/>
  <c r="F230" i="1"/>
  <c r="D230" i="1"/>
  <c r="C230" i="1"/>
  <c r="B230" i="1"/>
  <c r="A230" i="1"/>
  <c r="G229" i="1"/>
  <c r="F229" i="1"/>
  <c r="D229" i="1"/>
  <c r="C229" i="1"/>
  <c r="B229" i="1"/>
  <c r="A229" i="1"/>
  <c r="G228" i="1"/>
  <c r="F228" i="1"/>
  <c r="D228" i="1"/>
  <c r="C228" i="1"/>
  <c r="B228" i="1"/>
  <c r="A228" i="1"/>
  <c r="G227" i="1"/>
  <c r="F227" i="1"/>
  <c r="D227" i="1"/>
  <c r="C227" i="1"/>
  <c r="B227" i="1"/>
  <c r="A227" i="1"/>
  <c r="G226" i="1"/>
  <c r="F226" i="1"/>
  <c r="D226" i="1"/>
  <c r="C226" i="1"/>
  <c r="B226" i="1"/>
  <c r="A226" i="1"/>
  <c r="G225" i="1"/>
  <c r="F225" i="1"/>
  <c r="D225" i="1"/>
  <c r="C225" i="1"/>
  <c r="B225" i="1"/>
  <c r="A225" i="1"/>
  <c r="G224" i="1"/>
  <c r="F224" i="1"/>
  <c r="D224" i="1"/>
  <c r="C224" i="1"/>
  <c r="B224" i="1"/>
  <c r="A224" i="1"/>
  <c r="G223" i="1"/>
  <c r="F223" i="1"/>
  <c r="D223" i="1"/>
  <c r="C223" i="1"/>
  <c r="B223" i="1"/>
  <c r="A223" i="1"/>
  <c r="G222" i="1"/>
  <c r="F222" i="1"/>
  <c r="D222" i="1"/>
  <c r="C222" i="1"/>
  <c r="B222" i="1"/>
  <c r="A222" i="1"/>
  <c r="G221" i="1"/>
  <c r="F221" i="1"/>
  <c r="D221" i="1"/>
  <c r="C221" i="1"/>
  <c r="B221" i="1"/>
  <c r="A221" i="1"/>
  <c r="G220" i="1"/>
  <c r="F220" i="1"/>
  <c r="D220" i="1"/>
  <c r="C220" i="1"/>
  <c r="B220" i="1"/>
  <c r="A220" i="1"/>
  <c r="G219" i="1"/>
  <c r="F219" i="1"/>
  <c r="D219" i="1"/>
  <c r="C219" i="1"/>
  <c r="B219" i="1"/>
  <c r="A219" i="1"/>
  <c r="G218" i="1"/>
  <c r="F218" i="1"/>
  <c r="D218" i="1"/>
  <c r="C218" i="1"/>
  <c r="B218" i="1"/>
  <c r="A218" i="1"/>
  <c r="G217" i="1"/>
  <c r="F217" i="1"/>
  <c r="D217" i="1"/>
  <c r="C217" i="1"/>
  <c r="B217" i="1"/>
  <c r="A217" i="1"/>
  <c r="G216" i="1"/>
  <c r="F216" i="1"/>
  <c r="D216" i="1"/>
  <c r="C216" i="1"/>
  <c r="B216" i="1"/>
  <c r="A216" i="1"/>
  <c r="G215" i="1"/>
  <c r="F215" i="1"/>
  <c r="D215" i="1"/>
  <c r="C215" i="1"/>
  <c r="B215" i="1"/>
  <c r="A215" i="1"/>
  <c r="G214" i="1"/>
  <c r="F214" i="1"/>
  <c r="D214" i="1"/>
  <c r="C214" i="1"/>
  <c r="B214" i="1"/>
  <c r="A214" i="1"/>
  <c r="G213" i="1"/>
  <c r="F213" i="1"/>
  <c r="D213" i="1"/>
  <c r="C213" i="1"/>
  <c r="B213" i="1"/>
  <c r="A213" i="1"/>
  <c r="G212" i="1"/>
  <c r="F212" i="1"/>
  <c r="D212" i="1"/>
  <c r="C212" i="1"/>
  <c r="B212" i="1"/>
  <c r="A212" i="1"/>
  <c r="G211" i="1"/>
  <c r="F211" i="1"/>
  <c r="D211" i="1"/>
  <c r="C211" i="1"/>
  <c r="B211" i="1"/>
  <c r="A211" i="1"/>
  <c r="G210" i="1"/>
  <c r="F210" i="1"/>
  <c r="D210" i="1"/>
  <c r="C210" i="1"/>
  <c r="B210" i="1"/>
  <c r="A210" i="1"/>
  <c r="G209" i="1"/>
  <c r="F209" i="1"/>
  <c r="D209" i="1"/>
  <c r="C209" i="1"/>
  <c r="B209" i="1"/>
  <c r="A209" i="1"/>
  <c r="G208" i="1"/>
  <c r="F208" i="1"/>
  <c r="D208" i="1"/>
  <c r="C208" i="1"/>
  <c r="B208" i="1"/>
  <c r="A208" i="1"/>
  <c r="G207" i="1"/>
  <c r="F207" i="1"/>
  <c r="D207" i="1"/>
  <c r="C207" i="1"/>
  <c r="B207" i="1"/>
  <c r="A207" i="1"/>
  <c r="G206" i="1"/>
  <c r="F206" i="1"/>
  <c r="D206" i="1"/>
  <c r="C206" i="1"/>
  <c r="B206" i="1"/>
  <c r="A206" i="1"/>
  <c r="G205" i="1"/>
  <c r="F205" i="1"/>
  <c r="D205" i="1"/>
  <c r="C205" i="1"/>
  <c r="B205" i="1"/>
  <c r="A205" i="1"/>
  <c r="G204" i="1"/>
  <c r="F204" i="1"/>
  <c r="D204" i="1"/>
  <c r="C204" i="1"/>
  <c r="B204" i="1"/>
  <c r="A204" i="1"/>
  <c r="G203" i="1"/>
  <c r="F203" i="1"/>
  <c r="D203" i="1"/>
  <c r="C203" i="1"/>
  <c r="B203" i="1"/>
  <c r="A203" i="1"/>
  <c r="G202" i="1"/>
  <c r="F202" i="1"/>
  <c r="D202" i="1"/>
  <c r="C202" i="1"/>
  <c r="B202" i="1"/>
  <c r="A202" i="1"/>
  <c r="G201" i="1"/>
  <c r="F201" i="1"/>
  <c r="D201" i="1"/>
  <c r="C201" i="1"/>
  <c r="B201" i="1"/>
  <c r="A201" i="1"/>
  <c r="G200" i="1"/>
  <c r="F200" i="1"/>
  <c r="D200" i="1"/>
  <c r="C200" i="1"/>
  <c r="B200" i="1"/>
  <c r="A200" i="1"/>
  <c r="G199" i="1"/>
  <c r="F199" i="1"/>
  <c r="D199" i="1"/>
  <c r="C199" i="1"/>
  <c r="B199" i="1"/>
  <c r="A199" i="1"/>
  <c r="G198" i="1"/>
  <c r="F198" i="1"/>
  <c r="D198" i="1"/>
  <c r="C198" i="1"/>
  <c r="B198" i="1"/>
  <c r="A198" i="1"/>
  <c r="G197" i="1"/>
  <c r="F197" i="1"/>
  <c r="D197" i="1"/>
  <c r="C197" i="1"/>
  <c r="B197" i="1"/>
  <c r="A197" i="1"/>
  <c r="G196" i="1"/>
  <c r="F196" i="1"/>
  <c r="D196" i="1"/>
  <c r="C196" i="1"/>
  <c r="B196" i="1"/>
  <c r="A196" i="1"/>
  <c r="G195" i="1"/>
  <c r="F195" i="1"/>
  <c r="D195" i="1"/>
  <c r="C195" i="1"/>
  <c r="B195" i="1"/>
  <c r="A195" i="1"/>
  <c r="G194" i="1"/>
  <c r="F194" i="1"/>
  <c r="D194" i="1"/>
  <c r="C194" i="1"/>
  <c r="B194" i="1"/>
  <c r="A194" i="1"/>
  <c r="G193" i="1"/>
  <c r="F193" i="1"/>
  <c r="D193" i="1"/>
  <c r="C193" i="1"/>
  <c r="B193" i="1"/>
  <c r="A193" i="1"/>
  <c r="G192" i="1"/>
  <c r="F192" i="1"/>
  <c r="D192" i="1"/>
  <c r="C192" i="1"/>
  <c r="B192" i="1"/>
  <c r="A192" i="1"/>
  <c r="G191" i="1"/>
  <c r="F191" i="1"/>
  <c r="D191" i="1"/>
  <c r="C191" i="1"/>
  <c r="B191" i="1"/>
  <c r="A191" i="1"/>
  <c r="G190" i="1"/>
  <c r="F190" i="1"/>
  <c r="D190" i="1"/>
  <c r="C190" i="1"/>
  <c r="B190" i="1"/>
  <c r="A190" i="1"/>
  <c r="G189" i="1"/>
  <c r="F189" i="1"/>
  <c r="D189" i="1"/>
  <c r="C189" i="1"/>
  <c r="B189" i="1"/>
  <c r="A189" i="1"/>
  <c r="G188" i="1"/>
  <c r="F188" i="1"/>
  <c r="D188" i="1"/>
  <c r="C188" i="1"/>
  <c r="B188" i="1"/>
  <c r="A188" i="1"/>
  <c r="G187" i="1"/>
  <c r="F187" i="1"/>
  <c r="D187" i="1"/>
  <c r="C187" i="1"/>
  <c r="B187" i="1"/>
  <c r="A187" i="1"/>
  <c r="G186" i="1"/>
  <c r="F186" i="1"/>
  <c r="D186" i="1"/>
  <c r="C186" i="1"/>
  <c r="B186" i="1"/>
  <c r="A186" i="1"/>
  <c r="G185" i="1"/>
  <c r="F185" i="1"/>
  <c r="D185" i="1"/>
  <c r="C185" i="1"/>
  <c r="B185" i="1"/>
  <c r="A185" i="1"/>
  <c r="G184" i="1"/>
  <c r="F184" i="1"/>
  <c r="D184" i="1"/>
  <c r="C184" i="1"/>
  <c r="B184" i="1"/>
  <c r="A184" i="1"/>
  <c r="G183" i="1"/>
  <c r="F183" i="1"/>
  <c r="D183" i="1"/>
  <c r="C183" i="1"/>
  <c r="B183" i="1"/>
  <c r="A183" i="1"/>
  <c r="G182" i="1"/>
  <c r="F182" i="1"/>
  <c r="D182" i="1"/>
  <c r="C182" i="1"/>
  <c r="B182" i="1"/>
  <c r="A182" i="1"/>
  <c r="G181" i="1"/>
  <c r="F181" i="1"/>
  <c r="D181" i="1"/>
  <c r="C181" i="1"/>
  <c r="B181" i="1"/>
  <c r="A181" i="1"/>
  <c r="G180" i="1"/>
  <c r="F180" i="1"/>
  <c r="D180" i="1"/>
  <c r="C180" i="1"/>
  <c r="B180" i="1"/>
  <c r="A180" i="1"/>
  <c r="G179" i="1"/>
  <c r="F179" i="1"/>
  <c r="D179" i="1"/>
  <c r="C179" i="1"/>
  <c r="B179" i="1"/>
  <c r="A179" i="1"/>
  <c r="G178" i="1"/>
  <c r="F178" i="1"/>
  <c r="D178" i="1"/>
  <c r="C178" i="1"/>
  <c r="B178" i="1"/>
  <c r="A178" i="1"/>
  <c r="G177" i="1"/>
  <c r="F177" i="1"/>
  <c r="D177" i="1"/>
  <c r="C177" i="1"/>
  <c r="B177" i="1"/>
  <c r="A177" i="1"/>
  <c r="G176" i="1"/>
  <c r="F176" i="1"/>
  <c r="D176" i="1"/>
  <c r="C176" i="1"/>
  <c r="B176" i="1"/>
  <c r="A176" i="1"/>
  <c r="G175" i="1"/>
  <c r="F175" i="1"/>
  <c r="D175" i="1"/>
  <c r="C175" i="1"/>
  <c r="B175" i="1"/>
  <c r="A175" i="1"/>
  <c r="G174" i="1"/>
  <c r="F174" i="1"/>
  <c r="D174" i="1"/>
  <c r="C174" i="1"/>
  <c r="B174" i="1"/>
  <c r="A174" i="1"/>
  <c r="G173" i="1"/>
  <c r="F173" i="1"/>
  <c r="D173" i="1"/>
  <c r="C173" i="1"/>
  <c r="B173" i="1"/>
  <c r="A173" i="1"/>
  <c r="G172" i="1"/>
  <c r="F172" i="1"/>
  <c r="D172" i="1"/>
  <c r="C172" i="1"/>
  <c r="B172" i="1"/>
  <c r="A172" i="1"/>
  <c r="G171" i="1"/>
  <c r="F171" i="1"/>
  <c r="D171" i="1"/>
  <c r="C171" i="1"/>
  <c r="B171" i="1"/>
  <c r="A171" i="1"/>
  <c r="G170" i="1"/>
  <c r="F170" i="1"/>
  <c r="D170" i="1"/>
  <c r="C170" i="1"/>
  <c r="B170" i="1"/>
  <c r="A170" i="1"/>
  <c r="G169" i="1"/>
  <c r="F169" i="1"/>
  <c r="D169" i="1"/>
  <c r="C169" i="1"/>
  <c r="B169" i="1"/>
  <c r="A169" i="1"/>
  <c r="G168" i="1"/>
  <c r="F168" i="1"/>
  <c r="D168" i="1"/>
  <c r="C168" i="1"/>
  <c r="B168" i="1"/>
  <c r="A168" i="1"/>
  <c r="G167" i="1"/>
  <c r="F167" i="1"/>
  <c r="D167" i="1"/>
  <c r="C167" i="1"/>
  <c r="B167" i="1"/>
  <c r="A167" i="1"/>
  <c r="G166" i="1"/>
  <c r="F166" i="1"/>
  <c r="D166" i="1"/>
  <c r="C166" i="1"/>
  <c r="B166" i="1"/>
  <c r="A166" i="1"/>
  <c r="G165" i="1"/>
  <c r="F165" i="1"/>
  <c r="D165" i="1"/>
  <c r="C165" i="1"/>
  <c r="B165" i="1"/>
  <c r="A165" i="1"/>
  <c r="G164" i="1"/>
  <c r="F164" i="1"/>
  <c r="D164" i="1"/>
  <c r="C164" i="1"/>
  <c r="B164" i="1"/>
  <c r="A164" i="1"/>
  <c r="G163" i="1"/>
  <c r="F163" i="1"/>
  <c r="D163" i="1"/>
  <c r="C163" i="1"/>
  <c r="B163" i="1"/>
  <c r="A163" i="1"/>
  <c r="G162" i="1"/>
  <c r="F162" i="1"/>
  <c r="D162" i="1"/>
  <c r="C162" i="1"/>
  <c r="B162" i="1"/>
  <c r="A162" i="1"/>
  <c r="G161" i="1"/>
  <c r="F161" i="1"/>
  <c r="D161" i="1"/>
  <c r="C161" i="1"/>
  <c r="B161" i="1"/>
  <c r="A161" i="1"/>
  <c r="G160" i="1"/>
  <c r="F160" i="1"/>
  <c r="D160" i="1"/>
  <c r="C160" i="1"/>
  <c r="B160" i="1"/>
  <c r="A160" i="1"/>
  <c r="G159" i="1"/>
  <c r="F159" i="1"/>
  <c r="D159" i="1"/>
  <c r="C159" i="1"/>
  <c r="B159" i="1"/>
  <c r="A159" i="1"/>
  <c r="G158" i="1"/>
  <c r="F158" i="1"/>
  <c r="D158" i="1"/>
  <c r="C158" i="1"/>
  <c r="B158" i="1"/>
  <c r="A158" i="1"/>
  <c r="G157" i="1"/>
  <c r="F157" i="1"/>
  <c r="D157" i="1"/>
  <c r="C157" i="1"/>
  <c r="B157" i="1"/>
  <c r="A157" i="1"/>
  <c r="G156" i="1"/>
  <c r="F156" i="1"/>
  <c r="D156" i="1"/>
  <c r="C156" i="1"/>
  <c r="B156" i="1"/>
  <c r="A156" i="1"/>
  <c r="G155" i="1"/>
  <c r="F155" i="1"/>
  <c r="D155" i="1"/>
  <c r="C155" i="1"/>
  <c r="B155" i="1"/>
  <c r="A155" i="1"/>
  <c r="G154" i="1"/>
  <c r="F154" i="1"/>
  <c r="D154" i="1"/>
  <c r="C154" i="1"/>
  <c r="B154" i="1"/>
  <c r="A154" i="1"/>
  <c r="G153" i="1"/>
  <c r="F153" i="1"/>
  <c r="D153" i="1"/>
  <c r="C153" i="1"/>
  <c r="B153" i="1"/>
  <c r="A153" i="1"/>
  <c r="G152" i="1"/>
  <c r="F152" i="1"/>
  <c r="D152" i="1"/>
  <c r="C152" i="1"/>
  <c r="B152" i="1"/>
  <c r="A152" i="1"/>
  <c r="G151" i="1"/>
  <c r="F151" i="1"/>
  <c r="D151" i="1"/>
  <c r="C151" i="1"/>
  <c r="B151" i="1"/>
  <c r="A151" i="1"/>
  <c r="G150" i="1"/>
  <c r="F150" i="1"/>
  <c r="D150" i="1"/>
  <c r="C150" i="1"/>
  <c r="B150" i="1"/>
  <c r="A150" i="1"/>
  <c r="G149" i="1"/>
  <c r="F149" i="1"/>
  <c r="D149" i="1"/>
  <c r="C149" i="1"/>
  <c r="B149" i="1"/>
  <c r="A149" i="1"/>
  <c r="G148" i="1"/>
  <c r="F148" i="1"/>
  <c r="D148" i="1"/>
  <c r="C148" i="1"/>
  <c r="B148" i="1"/>
  <c r="A148" i="1"/>
  <c r="G147" i="1"/>
  <c r="F147" i="1"/>
  <c r="D147" i="1"/>
  <c r="C147" i="1"/>
  <c r="B147" i="1"/>
  <c r="A147" i="1"/>
  <c r="G146" i="1"/>
  <c r="F146" i="1"/>
  <c r="D146" i="1"/>
  <c r="C146" i="1"/>
  <c r="B146" i="1"/>
  <c r="A146" i="1"/>
  <c r="G145" i="1"/>
  <c r="F145" i="1"/>
  <c r="D145" i="1"/>
  <c r="C145" i="1"/>
  <c r="B145" i="1"/>
  <c r="A145" i="1"/>
  <c r="G144" i="1"/>
  <c r="F144" i="1"/>
  <c r="D144" i="1"/>
  <c r="C144" i="1"/>
  <c r="B144" i="1"/>
  <c r="A144" i="1"/>
  <c r="G143" i="1"/>
  <c r="F143" i="1"/>
  <c r="D143" i="1"/>
  <c r="C143" i="1"/>
  <c r="B143" i="1"/>
  <c r="A143" i="1"/>
  <c r="G142" i="1"/>
  <c r="F142" i="1"/>
  <c r="D142" i="1"/>
  <c r="C142" i="1"/>
  <c r="B142" i="1"/>
  <c r="A142" i="1"/>
  <c r="G141" i="1"/>
  <c r="F141" i="1"/>
  <c r="D141" i="1"/>
  <c r="C141" i="1"/>
  <c r="B141" i="1"/>
  <c r="A141" i="1"/>
  <c r="G140" i="1"/>
  <c r="F140" i="1"/>
  <c r="D140" i="1"/>
  <c r="C140" i="1"/>
  <c r="B140" i="1"/>
  <c r="A140" i="1"/>
  <c r="G139" i="1"/>
  <c r="F139" i="1"/>
  <c r="D139" i="1"/>
  <c r="C139" i="1"/>
  <c r="B139" i="1"/>
  <c r="A139" i="1"/>
  <c r="G138" i="1"/>
  <c r="F138" i="1"/>
  <c r="D138" i="1"/>
  <c r="C138" i="1"/>
  <c r="B138" i="1"/>
  <c r="A138" i="1"/>
  <c r="G137" i="1"/>
  <c r="F137" i="1"/>
  <c r="D137" i="1"/>
  <c r="C137" i="1"/>
  <c r="B137" i="1"/>
  <c r="A137" i="1"/>
  <c r="G136" i="1"/>
  <c r="F136" i="1"/>
  <c r="D136" i="1"/>
  <c r="C136" i="1"/>
  <c r="B136" i="1"/>
  <c r="A136" i="1"/>
  <c r="G135" i="1"/>
  <c r="F135" i="1"/>
  <c r="D135" i="1"/>
  <c r="C135" i="1"/>
  <c r="B135" i="1"/>
  <c r="A135" i="1"/>
  <c r="G134" i="1"/>
  <c r="F134" i="1"/>
  <c r="D134" i="1"/>
  <c r="C134" i="1"/>
  <c r="B134" i="1"/>
  <c r="A134" i="1"/>
  <c r="G133" i="1"/>
  <c r="F133" i="1"/>
  <c r="D133" i="1"/>
  <c r="C133" i="1"/>
  <c r="B133" i="1"/>
  <c r="A133" i="1"/>
  <c r="G132" i="1"/>
  <c r="F132" i="1"/>
  <c r="D132" i="1"/>
  <c r="C132" i="1"/>
  <c r="B132" i="1"/>
  <c r="A132" i="1"/>
  <c r="G131" i="1"/>
  <c r="F131" i="1"/>
  <c r="D131" i="1"/>
  <c r="C131" i="1"/>
  <c r="B131" i="1"/>
  <c r="A131" i="1"/>
  <c r="G130" i="1"/>
  <c r="F130" i="1"/>
  <c r="D130" i="1"/>
  <c r="C130" i="1"/>
  <c r="B130" i="1"/>
  <c r="A130" i="1"/>
  <c r="G129" i="1"/>
  <c r="F129" i="1"/>
  <c r="D129" i="1"/>
  <c r="C129" i="1"/>
  <c r="B129" i="1"/>
  <c r="A129" i="1"/>
  <c r="G128" i="1"/>
  <c r="F128" i="1"/>
  <c r="D128" i="1"/>
  <c r="C128" i="1"/>
  <c r="B128" i="1"/>
  <c r="A128" i="1"/>
  <c r="G127" i="1"/>
  <c r="F127" i="1"/>
  <c r="D127" i="1"/>
  <c r="C127" i="1"/>
  <c r="B127" i="1"/>
  <c r="A127" i="1"/>
  <c r="G126" i="1"/>
  <c r="F126" i="1"/>
  <c r="D126" i="1"/>
  <c r="C126" i="1"/>
  <c r="B126" i="1"/>
  <c r="A126" i="1"/>
  <c r="G125" i="1"/>
  <c r="F125" i="1"/>
  <c r="D125" i="1"/>
  <c r="C125" i="1"/>
  <c r="B125" i="1"/>
  <c r="A125" i="1"/>
  <c r="G124" i="1"/>
  <c r="F124" i="1"/>
  <c r="D124" i="1"/>
  <c r="C124" i="1"/>
  <c r="B124" i="1"/>
  <c r="A124" i="1"/>
  <c r="G123" i="1"/>
  <c r="F123" i="1"/>
  <c r="D123" i="1"/>
  <c r="C123" i="1"/>
  <c r="B123" i="1"/>
  <c r="A123" i="1"/>
  <c r="G122" i="1"/>
  <c r="F122" i="1"/>
  <c r="D122" i="1"/>
  <c r="C122" i="1"/>
  <c r="B122" i="1"/>
  <c r="A122" i="1"/>
  <c r="G121" i="1"/>
  <c r="F121" i="1"/>
  <c r="D121" i="1"/>
  <c r="C121" i="1"/>
  <c r="B121" i="1"/>
  <c r="A121" i="1"/>
  <c r="G120" i="1"/>
  <c r="F120" i="1"/>
  <c r="D120" i="1"/>
  <c r="C120" i="1"/>
  <c r="B120" i="1"/>
  <c r="A120" i="1"/>
  <c r="G119" i="1"/>
  <c r="F119" i="1"/>
  <c r="D119" i="1"/>
  <c r="C119" i="1"/>
  <c r="B119" i="1"/>
  <c r="A119" i="1"/>
  <c r="G118" i="1"/>
  <c r="F118" i="1"/>
  <c r="D118" i="1"/>
  <c r="C118" i="1"/>
  <c r="B118" i="1"/>
  <c r="A118" i="1"/>
  <c r="G117" i="1"/>
  <c r="F117" i="1"/>
  <c r="D117" i="1"/>
  <c r="C117" i="1"/>
  <c r="B117" i="1"/>
  <c r="A117" i="1"/>
  <c r="G116" i="1"/>
  <c r="F116" i="1"/>
  <c r="D116" i="1"/>
  <c r="C116" i="1"/>
  <c r="B116" i="1"/>
  <c r="A116" i="1"/>
  <c r="G115" i="1"/>
  <c r="F115" i="1"/>
  <c r="D115" i="1"/>
  <c r="C115" i="1"/>
  <c r="B115" i="1"/>
  <c r="A115" i="1"/>
  <c r="G114" i="1"/>
  <c r="F114" i="1"/>
  <c r="D114" i="1"/>
  <c r="C114" i="1"/>
  <c r="B114" i="1"/>
  <c r="A114" i="1"/>
  <c r="G113" i="1"/>
  <c r="F113" i="1"/>
  <c r="D113" i="1"/>
  <c r="C113" i="1"/>
  <c r="B113" i="1"/>
  <c r="A113" i="1"/>
  <c r="G112" i="1"/>
  <c r="F112" i="1"/>
  <c r="D112" i="1"/>
  <c r="C112" i="1"/>
  <c r="B112" i="1"/>
  <c r="A112" i="1"/>
  <c r="G111" i="1"/>
  <c r="F111" i="1"/>
  <c r="D111" i="1"/>
  <c r="C111" i="1"/>
  <c r="B111" i="1"/>
  <c r="A111" i="1"/>
  <c r="G110" i="1"/>
  <c r="F110" i="1"/>
  <c r="D110" i="1"/>
  <c r="C110" i="1"/>
  <c r="B110" i="1"/>
  <c r="A110" i="1"/>
  <c r="G109" i="1"/>
  <c r="F109" i="1"/>
  <c r="D109" i="1"/>
  <c r="C109" i="1"/>
  <c r="B109" i="1"/>
  <c r="A109" i="1"/>
  <c r="G108" i="1"/>
  <c r="F108" i="1"/>
  <c r="D108" i="1"/>
  <c r="C108" i="1"/>
  <c r="B108" i="1"/>
  <c r="A108" i="1"/>
  <c r="G107" i="1"/>
  <c r="F107" i="1"/>
  <c r="D107" i="1"/>
  <c r="C107" i="1"/>
  <c r="B107" i="1"/>
  <c r="A107" i="1"/>
  <c r="G106" i="1"/>
  <c r="F106" i="1"/>
  <c r="D106" i="1"/>
  <c r="C106" i="1"/>
  <c r="B106" i="1"/>
  <c r="A106" i="1"/>
  <c r="G105" i="1"/>
  <c r="F105" i="1"/>
  <c r="D105" i="1"/>
  <c r="C105" i="1"/>
  <c r="B105" i="1"/>
  <c r="A105" i="1"/>
  <c r="G104" i="1"/>
  <c r="F104" i="1"/>
  <c r="D104" i="1"/>
  <c r="C104" i="1"/>
  <c r="B104" i="1"/>
  <c r="A104" i="1"/>
  <c r="G103" i="1"/>
  <c r="F103" i="1"/>
  <c r="D103" i="1"/>
  <c r="C103" i="1"/>
  <c r="B103" i="1"/>
  <c r="A103" i="1"/>
  <c r="G102" i="1"/>
  <c r="F102" i="1"/>
  <c r="D102" i="1"/>
  <c r="C102" i="1"/>
  <c r="B102" i="1"/>
  <c r="A102" i="1"/>
  <c r="G101" i="1"/>
  <c r="F101" i="1"/>
  <c r="D101" i="1"/>
  <c r="C101" i="1"/>
  <c r="B101" i="1"/>
  <c r="A101" i="1"/>
  <c r="G100" i="1"/>
  <c r="F100" i="1"/>
  <c r="D100" i="1"/>
  <c r="C100" i="1"/>
  <c r="B100" i="1"/>
  <c r="A100" i="1"/>
  <c r="G99" i="1"/>
  <c r="F99" i="1"/>
  <c r="D99" i="1"/>
  <c r="C99" i="1"/>
  <c r="B99" i="1"/>
  <c r="A99" i="1"/>
  <c r="G98" i="1"/>
  <c r="F98" i="1"/>
  <c r="D98" i="1"/>
  <c r="C98" i="1"/>
  <c r="B98" i="1"/>
  <c r="A98" i="1"/>
  <c r="G97" i="1"/>
  <c r="F97" i="1"/>
  <c r="D97" i="1"/>
  <c r="C97" i="1"/>
  <c r="B97" i="1"/>
  <c r="A97" i="1"/>
  <c r="G96" i="1"/>
  <c r="F96" i="1"/>
  <c r="D96" i="1"/>
  <c r="C96" i="1"/>
  <c r="B96" i="1"/>
  <c r="A96" i="1"/>
  <c r="G95" i="1"/>
  <c r="F95" i="1"/>
  <c r="D95" i="1"/>
  <c r="C95" i="1"/>
  <c r="B95" i="1"/>
  <c r="A95" i="1"/>
  <c r="G94" i="1"/>
  <c r="F94" i="1"/>
  <c r="D94" i="1"/>
  <c r="C94" i="1"/>
  <c r="B94" i="1"/>
  <c r="A94" i="1"/>
  <c r="G93" i="1"/>
  <c r="F93" i="1"/>
  <c r="D93" i="1"/>
  <c r="C93" i="1"/>
  <c r="B93" i="1"/>
  <c r="A93" i="1"/>
  <c r="G92" i="1"/>
  <c r="F92" i="1"/>
  <c r="D92" i="1"/>
  <c r="C92" i="1"/>
  <c r="B92" i="1"/>
  <c r="A92" i="1"/>
  <c r="D68" i="1"/>
  <c r="C68" i="1"/>
  <c r="B68" i="1"/>
  <c r="B49" i="1"/>
  <c r="D49" i="1" s="1"/>
  <c r="B48" i="1"/>
  <c r="D48" i="1" s="1"/>
  <c r="D47" i="1"/>
  <c r="C47" i="1"/>
  <c r="B47" i="1"/>
  <c r="D46" i="1"/>
  <c r="C46" i="1"/>
  <c r="B46" i="1"/>
  <c r="D45" i="1"/>
  <c r="C45" i="1"/>
  <c r="B45" i="1"/>
  <c r="D42" i="1"/>
  <c r="E42" i="1" s="1"/>
  <c r="C42" i="1"/>
  <c r="B42" i="1"/>
  <c r="D41" i="1"/>
  <c r="E41" i="1" s="1"/>
  <c r="C41" i="1"/>
  <c r="B41" i="1"/>
  <c r="D40" i="1"/>
  <c r="C40" i="1"/>
  <c r="B40" i="1"/>
  <c r="D39" i="1"/>
  <c r="C39" i="1"/>
  <c r="B39" i="1"/>
  <c r="B34" i="1"/>
  <c r="B33" i="1"/>
  <c r="B32" i="1"/>
  <c r="B31" i="1"/>
  <c r="B15" i="1"/>
  <c r="B14" i="1"/>
  <c r="B13" i="1"/>
  <c r="B12" i="1"/>
  <c r="B11" i="1"/>
  <c r="B10" i="1"/>
  <c r="B9" i="1"/>
  <c r="C4" i="1"/>
  <c r="BK603" i="2"/>
  <c r="BJ603" i="2"/>
  <c r="BI603" i="2"/>
  <c r="BH603" i="2"/>
  <c r="BG603" i="2"/>
  <c r="BK602" i="2"/>
  <c r="BJ602" i="2"/>
  <c r="BI602" i="2"/>
  <c r="BH602" i="2"/>
  <c r="BG602" i="2"/>
  <c r="BK601" i="2"/>
  <c r="BJ601" i="2"/>
  <c r="BI601" i="2"/>
  <c r="BH601" i="2"/>
  <c r="BG601" i="2"/>
  <c r="BK600" i="2"/>
  <c r="BJ600" i="2"/>
  <c r="BI600" i="2"/>
  <c r="BH600" i="2"/>
  <c r="BG600" i="2"/>
  <c r="BK599" i="2"/>
  <c r="BJ599" i="2"/>
  <c r="BI599" i="2"/>
  <c r="BH599" i="2"/>
  <c r="BG599" i="2"/>
  <c r="BK598" i="2"/>
  <c r="BJ598" i="2"/>
  <c r="BI598" i="2"/>
  <c r="BH598" i="2"/>
  <c r="BG598" i="2"/>
  <c r="BK597" i="2"/>
  <c r="BJ597" i="2"/>
  <c r="BI597" i="2"/>
  <c r="BH597" i="2"/>
  <c r="BG597" i="2"/>
  <c r="BK596" i="2"/>
  <c r="BJ596" i="2"/>
  <c r="BI596" i="2"/>
  <c r="BH596" i="2"/>
  <c r="BG596" i="2"/>
  <c r="BK595" i="2"/>
  <c r="BJ595" i="2"/>
  <c r="BI595" i="2"/>
  <c r="BH595" i="2"/>
  <c r="BG595" i="2"/>
  <c r="BK594" i="2"/>
  <c r="BJ594" i="2"/>
  <c r="BI594" i="2"/>
  <c r="BH594" i="2"/>
  <c r="BG594" i="2"/>
  <c r="BK593" i="2"/>
  <c r="BJ593" i="2"/>
  <c r="BI593" i="2"/>
  <c r="BH593" i="2"/>
  <c r="BG593" i="2"/>
  <c r="BK592" i="2"/>
  <c r="BJ592" i="2"/>
  <c r="BI592" i="2"/>
  <c r="BH592" i="2"/>
  <c r="BG592" i="2"/>
  <c r="BK591" i="2"/>
  <c r="BJ591" i="2"/>
  <c r="BI591" i="2"/>
  <c r="BH591" i="2"/>
  <c r="BG591" i="2"/>
  <c r="BK590" i="2"/>
  <c r="BJ590" i="2"/>
  <c r="BI590" i="2"/>
  <c r="BH590" i="2"/>
  <c r="BG590" i="2"/>
  <c r="BK589" i="2"/>
  <c r="BJ589" i="2"/>
  <c r="BI589" i="2"/>
  <c r="BH589" i="2"/>
  <c r="BG589" i="2"/>
  <c r="BK588" i="2"/>
  <c r="BJ588" i="2"/>
  <c r="BI588" i="2"/>
  <c r="BH588" i="2"/>
  <c r="BG588" i="2"/>
  <c r="BK587" i="2"/>
  <c r="BJ587" i="2"/>
  <c r="BI587" i="2"/>
  <c r="BH587" i="2"/>
  <c r="BG587" i="2"/>
  <c r="BK586" i="2"/>
  <c r="BJ586" i="2"/>
  <c r="BI586" i="2"/>
  <c r="BH586" i="2"/>
  <c r="BG586" i="2"/>
  <c r="BK585" i="2"/>
  <c r="BJ585" i="2"/>
  <c r="BI585" i="2"/>
  <c r="BH585" i="2"/>
  <c r="BG585" i="2"/>
  <c r="BK584" i="2"/>
  <c r="BJ584" i="2"/>
  <c r="BI584" i="2"/>
  <c r="BH584" i="2"/>
  <c r="BG584" i="2"/>
  <c r="BK583" i="2"/>
  <c r="BJ583" i="2"/>
  <c r="BI583" i="2"/>
  <c r="BH583" i="2"/>
  <c r="BG583" i="2"/>
  <c r="BK582" i="2"/>
  <c r="BJ582" i="2"/>
  <c r="BI582" i="2"/>
  <c r="BH582" i="2"/>
  <c r="BG582" i="2"/>
  <c r="BK581" i="2"/>
  <c r="BJ581" i="2"/>
  <c r="BI581" i="2"/>
  <c r="BH581" i="2"/>
  <c r="BG581" i="2"/>
  <c r="BK580" i="2"/>
  <c r="BJ580" i="2"/>
  <c r="BI580" i="2"/>
  <c r="BH580" i="2"/>
  <c r="BG580" i="2"/>
  <c r="BK579" i="2"/>
  <c r="BJ579" i="2"/>
  <c r="BI579" i="2"/>
  <c r="BH579" i="2"/>
  <c r="BG579" i="2"/>
  <c r="BK578" i="2"/>
  <c r="BJ578" i="2"/>
  <c r="BI578" i="2"/>
  <c r="BH578" i="2"/>
  <c r="BG578" i="2"/>
  <c r="BK577" i="2"/>
  <c r="BJ577" i="2"/>
  <c r="BI577" i="2"/>
  <c r="BH577" i="2"/>
  <c r="BG577" i="2"/>
  <c r="BK576" i="2"/>
  <c r="BJ576" i="2"/>
  <c r="BI576" i="2"/>
  <c r="BH576" i="2"/>
  <c r="BG576" i="2"/>
  <c r="BK575" i="2"/>
  <c r="BJ575" i="2"/>
  <c r="BI575" i="2"/>
  <c r="BH575" i="2"/>
  <c r="BG575" i="2"/>
  <c r="BK574" i="2"/>
  <c r="BJ574" i="2"/>
  <c r="BI574" i="2"/>
  <c r="BH574" i="2"/>
  <c r="BG574" i="2"/>
  <c r="BK573" i="2"/>
  <c r="BJ573" i="2"/>
  <c r="BI573" i="2"/>
  <c r="BH573" i="2"/>
  <c r="BG573" i="2"/>
  <c r="BK572" i="2"/>
  <c r="BJ572" i="2"/>
  <c r="BI572" i="2"/>
  <c r="BH572" i="2"/>
  <c r="BG572" i="2"/>
  <c r="BK571" i="2"/>
  <c r="BJ571" i="2"/>
  <c r="BI571" i="2"/>
  <c r="BH571" i="2"/>
  <c r="BG571" i="2"/>
  <c r="BK570" i="2"/>
  <c r="BJ570" i="2"/>
  <c r="BI570" i="2"/>
  <c r="BH570" i="2"/>
  <c r="BG570" i="2"/>
  <c r="BK569" i="2"/>
  <c r="BJ569" i="2"/>
  <c r="BI569" i="2"/>
  <c r="BH569" i="2"/>
  <c r="BG569" i="2"/>
  <c r="BK568" i="2"/>
  <c r="BJ568" i="2"/>
  <c r="BI568" i="2"/>
  <c r="BH568" i="2"/>
  <c r="BG568" i="2"/>
  <c r="BK567" i="2"/>
  <c r="BJ567" i="2"/>
  <c r="BI567" i="2"/>
  <c r="BH567" i="2"/>
  <c r="BG567" i="2"/>
  <c r="BK566" i="2"/>
  <c r="BJ566" i="2"/>
  <c r="BI566" i="2"/>
  <c r="BH566" i="2"/>
  <c r="BG566" i="2"/>
  <c r="BK565" i="2"/>
  <c r="BJ565" i="2"/>
  <c r="BI565" i="2"/>
  <c r="BH565" i="2"/>
  <c r="BG565" i="2"/>
  <c r="BK564" i="2"/>
  <c r="BJ564" i="2"/>
  <c r="BI564" i="2"/>
  <c r="BH564" i="2"/>
  <c r="BG564" i="2"/>
  <c r="BK563" i="2"/>
  <c r="BJ563" i="2"/>
  <c r="BI563" i="2"/>
  <c r="BH563" i="2"/>
  <c r="BG563" i="2"/>
  <c r="BK562" i="2"/>
  <c r="BJ562" i="2"/>
  <c r="BI562" i="2"/>
  <c r="BH562" i="2"/>
  <c r="BG562" i="2"/>
  <c r="BK561" i="2"/>
  <c r="BJ561" i="2"/>
  <c r="BI561" i="2"/>
  <c r="BH561" i="2"/>
  <c r="BG561" i="2"/>
  <c r="BK560" i="2"/>
  <c r="BJ560" i="2"/>
  <c r="BI560" i="2"/>
  <c r="BH560" i="2"/>
  <c r="BG560" i="2"/>
  <c r="BK559" i="2"/>
  <c r="BJ559" i="2"/>
  <c r="BI559" i="2"/>
  <c r="BH559" i="2"/>
  <c r="BG559" i="2"/>
  <c r="BK558" i="2"/>
  <c r="BJ558" i="2"/>
  <c r="BI558" i="2"/>
  <c r="BH558" i="2"/>
  <c r="BG558" i="2"/>
  <c r="BK557" i="2"/>
  <c r="BJ557" i="2"/>
  <c r="BI557" i="2"/>
  <c r="BH557" i="2"/>
  <c r="BG557" i="2"/>
  <c r="BK556" i="2"/>
  <c r="BJ556" i="2"/>
  <c r="BI556" i="2"/>
  <c r="BH556" i="2"/>
  <c r="BG556" i="2"/>
  <c r="BK555" i="2"/>
  <c r="BJ555" i="2"/>
  <c r="BI555" i="2"/>
  <c r="BH555" i="2"/>
  <c r="BG555" i="2"/>
  <c r="BK554" i="2"/>
  <c r="BJ554" i="2"/>
  <c r="BI554" i="2"/>
  <c r="BH554" i="2"/>
  <c r="BG554" i="2"/>
  <c r="BK553" i="2"/>
  <c r="BJ553" i="2"/>
  <c r="BI553" i="2"/>
  <c r="BH553" i="2"/>
  <c r="BG553" i="2"/>
  <c r="BK552" i="2"/>
  <c r="BJ552" i="2"/>
  <c r="BI552" i="2"/>
  <c r="BH552" i="2"/>
  <c r="BG552" i="2"/>
  <c r="BK551" i="2"/>
  <c r="BJ551" i="2"/>
  <c r="BI551" i="2"/>
  <c r="BH551" i="2"/>
  <c r="BG551" i="2"/>
  <c r="BK550" i="2"/>
  <c r="BJ550" i="2"/>
  <c r="BI550" i="2"/>
  <c r="BH550" i="2"/>
  <c r="BG550" i="2"/>
  <c r="BK549" i="2"/>
  <c r="BJ549" i="2"/>
  <c r="BI549" i="2"/>
  <c r="BH549" i="2"/>
  <c r="BG549" i="2"/>
  <c r="BK548" i="2"/>
  <c r="BJ548" i="2"/>
  <c r="BI548" i="2"/>
  <c r="BH548" i="2"/>
  <c r="BG548" i="2"/>
  <c r="BK547" i="2"/>
  <c r="BJ547" i="2"/>
  <c r="BI547" i="2"/>
  <c r="BH547" i="2"/>
  <c r="BG547" i="2"/>
  <c r="BK546" i="2"/>
  <c r="BJ546" i="2"/>
  <c r="BI546" i="2"/>
  <c r="BH546" i="2"/>
  <c r="BG546" i="2"/>
  <c r="BK545" i="2"/>
  <c r="BJ545" i="2"/>
  <c r="BI545" i="2"/>
  <c r="BH545" i="2"/>
  <c r="BG545" i="2"/>
  <c r="BK544" i="2"/>
  <c r="BJ544" i="2"/>
  <c r="BI544" i="2"/>
  <c r="BH544" i="2"/>
  <c r="BG544" i="2"/>
  <c r="BK543" i="2"/>
  <c r="BJ543" i="2"/>
  <c r="BI543" i="2"/>
  <c r="BH543" i="2"/>
  <c r="BG543" i="2"/>
  <c r="BK542" i="2"/>
  <c r="BJ542" i="2"/>
  <c r="BI542" i="2"/>
  <c r="BH542" i="2"/>
  <c r="BG542" i="2"/>
  <c r="BK541" i="2"/>
  <c r="BJ541" i="2"/>
  <c r="BI541" i="2"/>
  <c r="BH541" i="2"/>
  <c r="BG541" i="2"/>
  <c r="BK540" i="2"/>
  <c r="BJ540" i="2"/>
  <c r="BI540" i="2"/>
  <c r="BH540" i="2"/>
  <c r="BG540" i="2"/>
  <c r="BK539" i="2"/>
  <c r="BJ539" i="2"/>
  <c r="BI539" i="2"/>
  <c r="BH539" i="2"/>
  <c r="BG539" i="2"/>
  <c r="BK538" i="2"/>
  <c r="BJ538" i="2"/>
  <c r="BI538" i="2"/>
  <c r="BH538" i="2"/>
  <c r="BG538" i="2"/>
  <c r="BK537" i="2"/>
  <c r="BJ537" i="2"/>
  <c r="BI537" i="2"/>
  <c r="BH537" i="2"/>
  <c r="BG537" i="2"/>
  <c r="BK536" i="2"/>
  <c r="BJ536" i="2"/>
  <c r="BI536" i="2"/>
  <c r="BH536" i="2"/>
  <c r="BG536" i="2"/>
  <c r="BK535" i="2"/>
  <c r="BJ535" i="2"/>
  <c r="BI535" i="2"/>
  <c r="BH535" i="2"/>
  <c r="BG535" i="2"/>
  <c r="BK534" i="2"/>
  <c r="BJ534" i="2"/>
  <c r="BI534" i="2"/>
  <c r="BH534" i="2"/>
  <c r="BG534" i="2"/>
  <c r="BK533" i="2"/>
  <c r="BJ533" i="2"/>
  <c r="BI533" i="2"/>
  <c r="BH533" i="2"/>
  <c r="BG533" i="2"/>
  <c r="BK532" i="2"/>
  <c r="BJ532" i="2"/>
  <c r="BI532" i="2"/>
  <c r="BH532" i="2"/>
  <c r="BG532" i="2"/>
  <c r="BK531" i="2"/>
  <c r="BJ531" i="2"/>
  <c r="BI531" i="2"/>
  <c r="BH531" i="2"/>
  <c r="BG531" i="2"/>
  <c r="BK530" i="2"/>
  <c r="BJ530" i="2"/>
  <c r="BI530" i="2"/>
  <c r="BH530" i="2"/>
  <c r="BG530" i="2"/>
  <c r="BK529" i="2"/>
  <c r="BJ529" i="2"/>
  <c r="BI529" i="2"/>
  <c r="BH529" i="2"/>
  <c r="BG529" i="2"/>
  <c r="BK528" i="2"/>
  <c r="BJ528" i="2"/>
  <c r="BI528" i="2"/>
  <c r="BH528" i="2"/>
  <c r="BG528" i="2"/>
  <c r="BK527" i="2"/>
  <c r="BJ527" i="2"/>
  <c r="BI527" i="2"/>
  <c r="BH527" i="2"/>
  <c r="BG527" i="2"/>
  <c r="BK526" i="2"/>
  <c r="BJ526" i="2"/>
  <c r="BI526" i="2"/>
  <c r="BH526" i="2"/>
  <c r="BG526" i="2"/>
  <c r="BK525" i="2"/>
  <c r="BJ525" i="2"/>
  <c r="BI525" i="2"/>
  <c r="BH525" i="2"/>
  <c r="BG525" i="2"/>
  <c r="BK524" i="2"/>
  <c r="BJ524" i="2"/>
  <c r="BI524" i="2"/>
  <c r="BH524" i="2"/>
  <c r="BG524" i="2"/>
  <c r="BK523" i="2"/>
  <c r="BJ523" i="2"/>
  <c r="BI523" i="2"/>
  <c r="BH523" i="2"/>
  <c r="BG523" i="2"/>
  <c r="BK522" i="2"/>
  <c r="BJ522" i="2"/>
  <c r="BI522" i="2"/>
  <c r="BH522" i="2"/>
  <c r="BG522" i="2"/>
  <c r="BK521" i="2"/>
  <c r="BJ521" i="2"/>
  <c r="BI521" i="2"/>
  <c r="BH521" i="2"/>
  <c r="BG521" i="2"/>
  <c r="BK520" i="2"/>
  <c r="BJ520" i="2"/>
  <c r="BI520" i="2"/>
  <c r="BH520" i="2"/>
  <c r="BG520" i="2"/>
  <c r="BK519" i="2"/>
  <c r="BJ519" i="2"/>
  <c r="BI519" i="2"/>
  <c r="BH519" i="2"/>
  <c r="BG519" i="2"/>
  <c r="BK518" i="2"/>
  <c r="BJ518" i="2"/>
  <c r="BI518" i="2"/>
  <c r="BH518" i="2"/>
  <c r="BG518" i="2"/>
  <c r="BK517" i="2"/>
  <c r="BJ517" i="2"/>
  <c r="BI517" i="2"/>
  <c r="BH517" i="2"/>
  <c r="BG517" i="2"/>
  <c r="BK516" i="2"/>
  <c r="BJ516" i="2"/>
  <c r="BI516" i="2"/>
  <c r="BH516" i="2"/>
  <c r="BG516" i="2"/>
  <c r="BK515" i="2"/>
  <c r="BJ515" i="2"/>
  <c r="BI515" i="2"/>
  <c r="BH515" i="2"/>
  <c r="BG515" i="2"/>
  <c r="BK514" i="2"/>
  <c r="BJ514" i="2"/>
  <c r="BI514" i="2"/>
  <c r="BH514" i="2"/>
  <c r="BG514" i="2"/>
  <c r="BK513" i="2"/>
  <c r="BJ513" i="2"/>
  <c r="BI513" i="2"/>
  <c r="BH513" i="2"/>
  <c r="BG513" i="2"/>
  <c r="BK512" i="2"/>
  <c r="BJ512" i="2"/>
  <c r="BI512" i="2"/>
  <c r="BH512" i="2"/>
  <c r="BG512" i="2"/>
  <c r="BK511" i="2"/>
  <c r="BJ511" i="2"/>
  <c r="BI511" i="2"/>
  <c r="BH511" i="2"/>
  <c r="BG511" i="2"/>
  <c r="BK510" i="2"/>
  <c r="BJ510" i="2"/>
  <c r="BI510" i="2"/>
  <c r="BH510" i="2"/>
  <c r="BG510" i="2"/>
  <c r="BK509" i="2"/>
  <c r="BJ509" i="2"/>
  <c r="BI509" i="2"/>
  <c r="BH509" i="2"/>
  <c r="BG509" i="2"/>
  <c r="BK508" i="2"/>
  <c r="BJ508" i="2"/>
  <c r="BI508" i="2"/>
  <c r="BH508" i="2"/>
  <c r="BG508" i="2"/>
  <c r="BK507" i="2"/>
  <c r="BJ507" i="2"/>
  <c r="BI507" i="2"/>
  <c r="BH507" i="2"/>
  <c r="BG507" i="2"/>
  <c r="BK506" i="2"/>
  <c r="BJ506" i="2"/>
  <c r="BI506" i="2"/>
  <c r="BH506" i="2"/>
  <c r="BG506" i="2"/>
  <c r="BK505" i="2"/>
  <c r="BJ505" i="2"/>
  <c r="BI505" i="2"/>
  <c r="BH505" i="2"/>
  <c r="BG505" i="2"/>
  <c r="BK504" i="2"/>
  <c r="BJ504" i="2"/>
  <c r="BI504" i="2"/>
  <c r="BH504" i="2"/>
  <c r="BG504" i="2"/>
  <c r="BK503" i="2"/>
  <c r="BJ503" i="2"/>
  <c r="BI503" i="2"/>
  <c r="BH503" i="2"/>
  <c r="BG503" i="2"/>
  <c r="BK502" i="2"/>
  <c r="BJ502" i="2"/>
  <c r="BI502" i="2"/>
  <c r="BH502" i="2"/>
  <c r="BG502" i="2"/>
  <c r="BK501" i="2"/>
  <c r="BJ501" i="2"/>
  <c r="BI501" i="2"/>
  <c r="BH501" i="2"/>
  <c r="BG501" i="2"/>
  <c r="BK500" i="2"/>
  <c r="BJ500" i="2"/>
  <c r="BI500" i="2"/>
  <c r="BH500" i="2"/>
  <c r="BG500" i="2"/>
  <c r="BK499" i="2"/>
  <c r="BJ499" i="2"/>
  <c r="BI499" i="2"/>
  <c r="BH499" i="2"/>
  <c r="BG499" i="2"/>
  <c r="BK498" i="2"/>
  <c r="BJ498" i="2"/>
  <c r="BI498" i="2"/>
  <c r="BH498" i="2"/>
  <c r="BG498" i="2"/>
  <c r="BK497" i="2"/>
  <c r="BJ497" i="2"/>
  <c r="BI497" i="2"/>
  <c r="BH497" i="2"/>
  <c r="BG497" i="2"/>
  <c r="BK496" i="2"/>
  <c r="BJ496" i="2"/>
  <c r="BI496" i="2"/>
  <c r="BH496" i="2"/>
  <c r="BG496" i="2"/>
  <c r="BK495" i="2"/>
  <c r="BJ495" i="2"/>
  <c r="BI495" i="2"/>
  <c r="BH495" i="2"/>
  <c r="BG495" i="2"/>
  <c r="BK494" i="2"/>
  <c r="BJ494" i="2"/>
  <c r="BI494" i="2"/>
  <c r="BH494" i="2"/>
  <c r="BG494" i="2"/>
  <c r="BK493" i="2"/>
  <c r="BJ493" i="2"/>
  <c r="BI493" i="2"/>
  <c r="BH493" i="2"/>
  <c r="BG493" i="2"/>
  <c r="BK492" i="2"/>
  <c r="BJ492" i="2"/>
  <c r="BI492" i="2"/>
  <c r="BH492" i="2"/>
  <c r="BG492" i="2"/>
  <c r="BK491" i="2"/>
  <c r="BJ491" i="2"/>
  <c r="BI491" i="2"/>
  <c r="BH491" i="2"/>
  <c r="BG491" i="2"/>
  <c r="BK490" i="2"/>
  <c r="BJ490" i="2"/>
  <c r="BI490" i="2"/>
  <c r="BH490" i="2"/>
  <c r="BG490" i="2"/>
  <c r="BK489" i="2"/>
  <c r="BJ489" i="2"/>
  <c r="BI489" i="2"/>
  <c r="BH489" i="2"/>
  <c r="BG489" i="2"/>
  <c r="BK488" i="2"/>
  <c r="BJ488" i="2"/>
  <c r="BI488" i="2"/>
  <c r="BH488" i="2"/>
  <c r="BG488" i="2"/>
  <c r="BK487" i="2"/>
  <c r="BJ487" i="2"/>
  <c r="BI487" i="2"/>
  <c r="BH487" i="2"/>
  <c r="BG487" i="2"/>
  <c r="BK486" i="2"/>
  <c r="BJ486" i="2"/>
  <c r="BI486" i="2"/>
  <c r="BH486" i="2"/>
  <c r="BG486" i="2"/>
  <c r="BK485" i="2"/>
  <c r="BJ485" i="2"/>
  <c r="BI485" i="2"/>
  <c r="BH485" i="2"/>
  <c r="BG485" i="2"/>
  <c r="BK484" i="2"/>
  <c r="BJ484" i="2"/>
  <c r="BI484" i="2"/>
  <c r="BH484" i="2"/>
  <c r="BG484" i="2"/>
  <c r="BK483" i="2"/>
  <c r="BJ483" i="2"/>
  <c r="BI483" i="2"/>
  <c r="BH483" i="2"/>
  <c r="BG483" i="2"/>
  <c r="BK482" i="2"/>
  <c r="BJ482" i="2"/>
  <c r="BI482" i="2"/>
  <c r="BH482" i="2"/>
  <c r="BG482" i="2"/>
  <c r="BK481" i="2"/>
  <c r="BJ481" i="2"/>
  <c r="BI481" i="2"/>
  <c r="BH481" i="2"/>
  <c r="BG481" i="2"/>
  <c r="BK480" i="2"/>
  <c r="BJ480" i="2"/>
  <c r="BI480" i="2"/>
  <c r="BH480" i="2"/>
  <c r="BG480" i="2"/>
  <c r="BK479" i="2"/>
  <c r="BJ479" i="2"/>
  <c r="BI479" i="2"/>
  <c r="BH479" i="2"/>
  <c r="BG479" i="2"/>
  <c r="BK478" i="2"/>
  <c r="BJ478" i="2"/>
  <c r="BI478" i="2"/>
  <c r="BH478" i="2"/>
  <c r="BG478" i="2"/>
  <c r="BK477" i="2"/>
  <c r="BJ477" i="2"/>
  <c r="BI477" i="2"/>
  <c r="BH477" i="2"/>
  <c r="BG477" i="2"/>
  <c r="BK476" i="2"/>
  <c r="BJ476" i="2"/>
  <c r="BI476" i="2"/>
  <c r="BH476" i="2"/>
  <c r="BG476" i="2"/>
  <c r="BK475" i="2"/>
  <c r="BJ475" i="2"/>
  <c r="BI475" i="2"/>
  <c r="BH475" i="2"/>
  <c r="BG475" i="2"/>
  <c r="BK474" i="2"/>
  <c r="BJ474" i="2"/>
  <c r="BI474" i="2"/>
  <c r="BH474" i="2"/>
  <c r="BG474" i="2"/>
  <c r="BK473" i="2"/>
  <c r="BJ473" i="2"/>
  <c r="BI473" i="2"/>
  <c r="BH473" i="2"/>
  <c r="BG473" i="2"/>
  <c r="BK472" i="2"/>
  <c r="BJ472" i="2"/>
  <c r="BI472" i="2"/>
  <c r="BH472" i="2"/>
  <c r="BG472" i="2"/>
  <c r="BK471" i="2"/>
  <c r="BJ471" i="2"/>
  <c r="BI471" i="2"/>
  <c r="BH471" i="2"/>
  <c r="BG471" i="2"/>
  <c r="BK470" i="2"/>
  <c r="BJ470" i="2"/>
  <c r="BI470" i="2"/>
  <c r="BH470" i="2"/>
  <c r="BG470" i="2"/>
  <c r="BK469" i="2"/>
  <c r="BJ469" i="2"/>
  <c r="BI469" i="2"/>
  <c r="BH469" i="2"/>
  <c r="BG469" i="2"/>
  <c r="BK468" i="2"/>
  <c r="BJ468" i="2"/>
  <c r="BI468" i="2"/>
  <c r="BH468" i="2"/>
  <c r="BG468" i="2"/>
  <c r="BK467" i="2"/>
  <c r="BJ467" i="2"/>
  <c r="BI467" i="2"/>
  <c r="BH467" i="2"/>
  <c r="BG467" i="2"/>
  <c r="BK466" i="2"/>
  <c r="BJ466" i="2"/>
  <c r="BI466" i="2"/>
  <c r="BH466" i="2"/>
  <c r="BG466" i="2"/>
  <c r="BK465" i="2"/>
  <c r="BJ465" i="2"/>
  <c r="BI465" i="2"/>
  <c r="BH465" i="2"/>
  <c r="BG465" i="2"/>
  <c r="BK464" i="2"/>
  <c r="BJ464" i="2"/>
  <c r="BI464" i="2"/>
  <c r="BH464" i="2"/>
  <c r="BG464" i="2"/>
  <c r="BK463" i="2"/>
  <c r="BJ463" i="2"/>
  <c r="BI463" i="2"/>
  <c r="BH463" i="2"/>
  <c r="BG463" i="2"/>
  <c r="BK462" i="2"/>
  <c r="BJ462" i="2"/>
  <c r="BI462" i="2"/>
  <c r="BH462" i="2"/>
  <c r="BG462" i="2"/>
  <c r="BK461" i="2"/>
  <c r="BJ461" i="2"/>
  <c r="BI461" i="2"/>
  <c r="BH461" i="2"/>
  <c r="BG461" i="2"/>
  <c r="BK460" i="2"/>
  <c r="BJ460" i="2"/>
  <c r="BI460" i="2"/>
  <c r="BH460" i="2"/>
  <c r="BG460" i="2"/>
  <c r="BK459" i="2"/>
  <c r="BJ459" i="2"/>
  <c r="BI459" i="2"/>
  <c r="BH459" i="2"/>
  <c r="BG459" i="2"/>
  <c r="BK458" i="2"/>
  <c r="BJ458" i="2"/>
  <c r="BI458" i="2"/>
  <c r="BH458" i="2"/>
  <c r="BG458" i="2"/>
  <c r="BK457" i="2"/>
  <c r="BJ457" i="2"/>
  <c r="BI457" i="2"/>
  <c r="BH457" i="2"/>
  <c r="BG457" i="2"/>
  <c r="BK456" i="2"/>
  <c r="BJ456" i="2"/>
  <c r="BI456" i="2"/>
  <c r="BH456" i="2"/>
  <c r="BG456" i="2"/>
  <c r="BK455" i="2"/>
  <c r="BJ455" i="2"/>
  <c r="BI455" i="2"/>
  <c r="BH455" i="2"/>
  <c r="BG455" i="2"/>
  <c r="BK454" i="2"/>
  <c r="BJ454" i="2"/>
  <c r="BI454" i="2"/>
  <c r="BH454" i="2"/>
  <c r="BG454" i="2"/>
  <c r="BK453" i="2"/>
  <c r="BJ453" i="2"/>
  <c r="BI453" i="2"/>
  <c r="BH453" i="2"/>
  <c r="BG453" i="2"/>
  <c r="BK452" i="2"/>
  <c r="BJ452" i="2"/>
  <c r="BI452" i="2"/>
  <c r="BH452" i="2"/>
  <c r="BG452" i="2"/>
  <c r="BK451" i="2"/>
  <c r="BJ451" i="2"/>
  <c r="BI451" i="2"/>
  <c r="BH451" i="2"/>
  <c r="BG451" i="2"/>
  <c r="BK450" i="2"/>
  <c r="BJ450" i="2"/>
  <c r="BI450" i="2"/>
  <c r="BH450" i="2"/>
  <c r="BG450" i="2"/>
  <c r="BK449" i="2"/>
  <c r="BJ449" i="2"/>
  <c r="BI449" i="2"/>
  <c r="BH449" i="2"/>
  <c r="BG449" i="2"/>
  <c r="BK448" i="2"/>
  <c r="BJ448" i="2"/>
  <c r="BI448" i="2"/>
  <c r="BH448" i="2"/>
  <c r="BG448" i="2"/>
  <c r="BK447" i="2"/>
  <c r="BJ447" i="2"/>
  <c r="BI447" i="2"/>
  <c r="BH447" i="2"/>
  <c r="BG447" i="2"/>
  <c r="BK446" i="2"/>
  <c r="BJ446" i="2"/>
  <c r="BI446" i="2"/>
  <c r="BH446" i="2"/>
  <c r="BG446" i="2"/>
  <c r="BK445" i="2"/>
  <c r="BJ445" i="2"/>
  <c r="BI445" i="2"/>
  <c r="BH445" i="2"/>
  <c r="BG445" i="2"/>
  <c r="BK444" i="2"/>
  <c r="BJ444" i="2"/>
  <c r="BI444" i="2"/>
  <c r="BH444" i="2"/>
  <c r="BG444" i="2"/>
  <c r="BK443" i="2"/>
  <c r="BJ443" i="2"/>
  <c r="BI443" i="2"/>
  <c r="BH443" i="2"/>
  <c r="BG443" i="2"/>
  <c r="BK442" i="2"/>
  <c r="BJ442" i="2"/>
  <c r="BI442" i="2"/>
  <c r="BH442" i="2"/>
  <c r="BG442" i="2"/>
  <c r="BK441" i="2"/>
  <c r="BJ441" i="2"/>
  <c r="BI441" i="2"/>
  <c r="BH441" i="2"/>
  <c r="BG441" i="2"/>
  <c r="BK440" i="2"/>
  <c r="BJ440" i="2"/>
  <c r="BI440" i="2"/>
  <c r="BH440" i="2"/>
  <c r="BG440" i="2"/>
  <c r="BK439" i="2"/>
  <c r="BJ439" i="2"/>
  <c r="BI439" i="2"/>
  <c r="BH439" i="2"/>
  <c r="BG439" i="2"/>
  <c r="BK438" i="2"/>
  <c r="BJ438" i="2"/>
  <c r="BI438" i="2"/>
  <c r="BH438" i="2"/>
  <c r="BG438" i="2"/>
  <c r="BK437" i="2"/>
  <c r="BJ437" i="2"/>
  <c r="BI437" i="2"/>
  <c r="BH437" i="2"/>
  <c r="BG437" i="2"/>
  <c r="BK436" i="2"/>
  <c r="BJ436" i="2"/>
  <c r="BI436" i="2"/>
  <c r="BH436" i="2"/>
  <c r="BG436" i="2"/>
  <c r="BK435" i="2"/>
  <c r="BJ435" i="2"/>
  <c r="BI435" i="2"/>
  <c r="BH435" i="2"/>
  <c r="BG435" i="2"/>
  <c r="BK434" i="2"/>
  <c r="BJ434" i="2"/>
  <c r="BI434" i="2"/>
  <c r="BH434" i="2"/>
  <c r="BG434" i="2"/>
  <c r="BK433" i="2"/>
  <c r="BJ433" i="2"/>
  <c r="BI433" i="2"/>
  <c r="BH433" i="2"/>
  <c r="BG433" i="2"/>
  <c r="BK432" i="2"/>
  <c r="BJ432" i="2"/>
  <c r="BI432" i="2"/>
  <c r="BH432" i="2"/>
  <c r="BG432" i="2"/>
  <c r="BK431" i="2"/>
  <c r="BJ431" i="2"/>
  <c r="BI431" i="2"/>
  <c r="BH431" i="2"/>
  <c r="BG431" i="2"/>
  <c r="BK430" i="2"/>
  <c r="BJ430" i="2"/>
  <c r="BI430" i="2"/>
  <c r="BH430" i="2"/>
  <c r="BG430" i="2"/>
  <c r="BK429" i="2"/>
  <c r="BJ429" i="2"/>
  <c r="BI429" i="2"/>
  <c r="BH429" i="2"/>
  <c r="BG429" i="2"/>
  <c r="BK428" i="2"/>
  <c r="BJ428" i="2"/>
  <c r="BI428" i="2"/>
  <c r="BH428" i="2"/>
  <c r="BG428" i="2"/>
  <c r="BK427" i="2"/>
  <c r="BJ427" i="2"/>
  <c r="BI427" i="2"/>
  <c r="BH427" i="2"/>
  <c r="BG427" i="2"/>
  <c r="BK426" i="2"/>
  <c r="BJ426" i="2"/>
  <c r="BI426" i="2"/>
  <c r="BH426" i="2"/>
  <c r="BG426" i="2"/>
  <c r="BK425" i="2"/>
  <c r="BJ425" i="2"/>
  <c r="BI425" i="2"/>
  <c r="BH425" i="2"/>
  <c r="BG425" i="2"/>
  <c r="BK424" i="2"/>
  <c r="BJ424" i="2"/>
  <c r="BI424" i="2"/>
  <c r="BH424" i="2"/>
  <c r="BG424" i="2"/>
  <c r="BK423" i="2"/>
  <c r="BJ423" i="2"/>
  <c r="BI423" i="2"/>
  <c r="BH423" i="2"/>
  <c r="BG423" i="2"/>
  <c r="BK422" i="2"/>
  <c r="BJ422" i="2"/>
  <c r="BI422" i="2"/>
  <c r="BH422" i="2"/>
  <c r="BG422" i="2"/>
  <c r="BK421" i="2"/>
  <c r="BJ421" i="2"/>
  <c r="BI421" i="2"/>
  <c r="BH421" i="2"/>
  <c r="BG421" i="2"/>
  <c r="BK420" i="2"/>
  <c r="BJ420" i="2"/>
  <c r="BI420" i="2"/>
  <c r="BH420" i="2"/>
  <c r="BG420" i="2"/>
  <c r="BK419" i="2"/>
  <c r="BJ419" i="2"/>
  <c r="BI419" i="2"/>
  <c r="BH419" i="2"/>
  <c r="BG419" i="2"/>
  <c r="BK418" i="2"/>
  <c r="BJ418" i="2"/>
  <c r="BI418" i="2"/>
  <c r="BH418" i="2"/>
  <c r="BG418" i="2"/>
  <c r="BK417" i="2"/>
  <c r="BJ417" i="2"/>
  <c r="BI417" i="2"/>
  <c r="BH417" i="2"/>
  <c r="BG417" i="2"/>
  <c r="BK416" i="2"/>
  <c r="BJ416" i="2"/>
  <c r="BI416" i="2"/>
  <c r="BH416" i="2"/>
  <c r="BG416" i="2"/>
  <c r="BK415" i="2"/>
  <c r="BJ415" i="2"/>
  <c r="BI415" i="2"/>
  <c r="BH415" i="2"/>
  <c r="BG415" i="2"/>
  <c r="BK414" i="2"/>
  <c r="BJ414" i="2"/>
  <c r="BI414" i="2"/>
  <c r="BH414" i="2"/>
  <c r="BG414" i="2"/>
  <c r="BK413" i="2"/>
  <c r="BJ413" i="2"/>
  <c r="BI413" i="2"/>
  <c r="BH413" i="2"/>
  <c r="BG413" i="2"/>
  <c r="BK412" i="2"/>
  <c r="BJ412" i="2"/>
  <c r="BI412" i="2"/>
  <c r="BH412" i="2"/>
  <c r="BG412" i="2"/>
  <c r="BK411" i="2"/>
  <c r="BJ411" i="2"/>
  <c r="BI411" i="2"/>
  <c r="BH411" i="2"/>
  <c r="BG411" i="2"/>
  <c r="BK410" i="2"/>
  <c r="BJ410" i="2"/>
  <c r="BI410" i="2"/>
  <c r="BH410" i="2"/>
  <c r="BG410" i="2"/>
  <c r="BK409" i="2"/>
  <c r="BJ409" i="2"/>
  <c r="BI409" i="2"/>
  <c r="BH409" i="2"/>
  <c r="BG409" i="2"/>
  <c r="BK408" i="2"/>
  <c r="BJ408" i="2"/>
  <c r="BI408" i="2"/>
  <c r="BH408" i="2"/>
  <c r="BG408" i="2"/>
  <c r="BK407" i="2"/>
  <c r="BJ407" i="2"/>
  <c r="BI407" i="2"/>
  <c r="BH407" i="2"/>
  <c r="BG407" i="2"/>
  <c r="BK406" i="2"/>
  <c r="BJ406" i="2"/>
  <c r="BI406" i="2"/>
  <c r="BH406" i="2"/>
  <c r="BG406" i="2"/>
  <c r="BK405" i="2"/>
  <c r="BJ405" i="2"/>
  <c r="BI405" i="2"/>
  <c r="BH405" i="2"/>
  <c r="BG405" i="2"/>
  <c r="BK404" i="2"/>
  <c r="BJ404" i="2"/>
  <c r="BI404" i="2"/>
  <c r="BH404" i="2"/>
  <c r="BG404" i="2"/>
  <c r="BK403" i="2"/>
  <c r="BJ403" i="2"/>
  <c r="BI403" i="2"/>
  <c r="BH403" i="2"/>
  <c r="BG403" i="2"/>
  <c r="BK402" i="2"/>
  <c r="BJ402" i="2"/>
  <c r="BI402" i="2"/>
  <c r="BH402" i="2"/>
  <c r="BG402" i="2"/>
  <c r="BK401" i="2"/>
  <c r="BJ401" i="2"/>
  <c r="BI401" i="2"/>
  <c r="BH401" i="2"/>
  <c r="BG401" i="2"/>
  <c r="BK400" i="2"/>
  <c r="BJ400" i="2"/>
  <c r="BI400" i="2"/>
  <c r="BH400" i="2"/>
  <c r="BG400" i="2"/>
  <c r="BK399" i="2"/>
  <c r="BJ399" i="2"/>
  <c r="BI399" i="2"/>
  <c r="BH399" i="2"/>
  <c r="BG399" i="2"/>
  <c r="BK398" i="2"/>
  <c r="BJ398" i="2"/>
  <c r="BI398" i="2"/>
  <c r="BH398" i="2"/>
  <c r="BG398" i="2"/>
  <c r="BK397" i="2"/>
  <c r="BJ397" i="2"/>
  <c r="BI397" i="2"/>
  <c r="BH397" i="2"/>
  <c r="BG397" i="2"/>
  <c r="BK396" i="2"/>
  <c r="BJ396" i="2"/>
  <c r="BI396" i="2"/>
  <c r="BH396" i="2"/>
  <c r="BG396" i="2"/>
  <c r="BK395" i="2"/>
  <c r="BJ395" i="2"/>
  <c r="BI395" i="2"/>
  <c r="BH395" i="2"/>
  <c r="BG395" i="2"/>
  <c r="BK394" i="2"/>
  <c r="BJ394" i="2"/>
  <c r="BI394" i="2"/>
  <c r="BH394" i="2"/>
  <c r="BG394" i="2"/>
  <c r="BK393" i="2"/>
  <c r="BJ393" i="2"/>
  <c r="BI393" i="2"/>
  <c r="BH393" i="2"/>
  <c r="BG393" i="2"/>
  <c r="BK392" i="2"/>
  <c r="BJ392" i="2"/>
  <c r="BI392" i="2"/>
  <c r="BH392" i="2"/>
  <c r="BG392" i="2"/>
  <c r="BK391" i="2"/>
  <c r="BJ391" i="2"/>
  <c r="BI391" i="2"/>
  <c r="BH391" i="2"/>
  <c r="BG391" i="2"/>
  <c r="BK390" i="2"/>
  <c r="BJ390" i="2"/>
  <c r="BI390" i="2"/>
  <c r="BH390" i="2"/>
  <c r="BG390" i="2"/>
  <c r="BK389" i="2"/>
  <c r="BJ389" i="2"/>
  <c r="BI389" i="2"/>
  <c r="BH389" i="2"/>
  <c r="BG389" i="2"/>
  <c r="BK388" i="2"/>
  <c r="BJ388" i="2"/>
  <c r="BI388" i="2"/>
  <c r="BH388" i="2"/>
  <c r="BG388" i="2"/>
  <c r="BK387" i="2"/>
  <c r="BJ387" i="2"/>
  <c r="BI387" i="2"/>
  <c r="BH387" i="2"/>
  <c r="BG387" i="2"/>
  <c r="BK386" i="2"/>
  <c r="BJ386" i="2"/>
  <c r="BI386" i="2"/>
  <c r="BH386" i="2"/>
  <c r="BG386" i="2"/>
  <c r="BK385" i="2"/>
  <c r="BJ385" i="2"/>
  <c r="BI385" i="2"/>
  <c r="BH385" i="2"/>
  <c r="BG385" i="2"/>
  <c r="BK384" i="2"/>
  <c r="BJ384" i="2"/>
  <c r="BI384" i="2"/>
  <c r="BH384" i="2"/>
  <c r="BG384" i="2"/>
  <c r="BK383" i="2"/>
  <c r="BJ383" i="2"/>
  <c r="BI383" i="2"/>
  <c r="BH383" i="2"/>
  <c r="BG383" i="2"/>
  <c r="BK382" i="2"/>
  <c r="BJ382" i="2"/>
  <c r="BI382" i="2"/>
  <c r="BH382" i="2"/>
  <c r="BG382" i="2"/>
  <c r="BK381" i="2"/>
  <c r="BJ381" i="2"/>
  <c r="BI381" i="2"/>
  <c r="BH381" i="2"/>
  <c r="BG381" i="2"/>
  <c r="BK380" i="2"/>
  <c r="BJ380" i="2"/>
  <c r="BI380" i="2"/>
  <c r="BH380" i="2"/>
  <c r="BG380" i="2"/>
  <c r="BK379" i="2"/>
  <c r="BJ379" i="2"/>
  <c r="BI379" i="2"/>
  <c r="BH379" i="2"/>
  <c r="BG379" i="2"/>
  <c r="BK378" i="2"/>
  <c r="BJ378" i="2"/>
  <c r="BI378" i="2"/>
  <c r="BH378" i="2"/>
  <c r="BG378" i="2"/>
  <c r="BK377" i="2"/>
  <c r="BJ377" i="2"/>
  <c r="BI377" i="2"/>
  <c r="BH377" i="2"/>
  <c r="BG377" i="2"/>
  <c r="BK376" i="2"/>
  <c r="BJ376" i="2"/>
  <c r="BI376" i="2"/>
  <c r="BH376" i="2"/>
  <c r="BG376" i="2"/>
  <c r="BK375" i="2"/>
  <c r="BJ375" i="2"/>
  <c r="BI375" i="2"/>
  <c r="BH375" i="2"/>
  <c r="BG375" i="2"/>
  <c r="BK374" i="2"/>
  <c r="BJ374" i="2"/>
  <c r="BI374" i="2"/>
  <c r="BH374" i="2"/>
  <c r="BG374" i="2"/>
  <c r="BK373" i="2"/>
  <c r="BJ373" i="2"/>
  <c r="BI373" i="2"/>
  <c r="BH373" i="2"/>
  <c r="BG373" i="2"/>
  <c r="BK372" i="2"/>
  <c r="BJ372" i="2"/>
  <c r="BI372" i="2"/>
  <c r="BH372" i="2"/>
  <c r="BG372" i="2"/>
  <c r="BK371" i="2"/>
  <c r="BJ371" i="2"/>
  <c r="BI371" i="2"/>
  <c r="BH371" i="2"/>
  <c r="BG371" i="2"/>
  <c r="BK370" i="2"/>
  <c r="BJ370" i="2"/>
  <c r="BI370" i="2"/>
  <c r="BH370" i="2"/>
  <c r="BG370" i="2"/>
  <c r="BK369" i="2"/>
  <c r="BJ369" i="2"/>
  <c r="BI369" i="2"/>
  <c r="BH369" i="2"/>
  <c r="BG369" i="2"/>
  <c r="BK368" i="2"/>
  <c r="BJ368" i="2"/>
  <c r="BI368" i="2"/>
  <c r="BH368" i="2"/>
  <c r="BG368" i="2"/>
  <c r="BK367" i="2"/>
  <c r="BJ367" i="2"/>
  <c r="BI367" i="2"/>
  <c r="BH367" i="2"/>
  <c r="BG367" i="2"/>
  <c r="BK366" i="2"/>
  <c r="BJ366" i="2"/>
  <c r="BI366" i="2"/>
  <c r="BH366" i="2"/>
  <c r="BG366" i="2"/>
  <c r="BK365" i="2"/>
  <c r="BJ365" i="2"/>
  <c r="BI365" i="2"/>
  <c r="BH365" i="2"/>
  <c r="BG365" i="2"/>
  <c r="BK364" i="2"/>
  <c r="BJ364" i="2"/>
  <c r="BI364" i="2"/>
  <c r="BH364" i="2"/>
  <c r="BG364" i="2"/>
  <c r="BK363" i="2"/>
  <c r="BJ363" i="2"/>
  <c r="BI363" i="2"/>
  <c r="BH363" i="2"/>
  <c r="BG363" i="2"/>
  <c r="BK362" i="2"/>
  <c r="BJ362" i="2"/>
  <c r="BI362" i="2"/>
  <c r="BH362" i="2"/>
  <c r="BG362" i="2"/>
  <c r="BK361" i="2"/>
  <c r="BJ361" i="2"/>
  <c r="BI361" i="2"/>
  <c r="BH361" i="2"/>
  <c r="BG361" i="2"/>
  <c r="BK360" i="2"/>
  <c r="BJ360" i="2"/>
  <c r="BI360" i="2"/>
  <c r="BH360" i="2"/>
  <c r="BG360" i="2"/>
  <c r="BK359" i="2"/>
  <c r="BJ359" i="2"/>
  <c r="BI359" i="2"/>
  <c r="BH359" i="2"/>
  <c r="BG359" i="2"/>
  <c r="BK358" i="2"/>
  <c r="BJ358" i="2"/>
  <c r="BI358" i="2"/>
  <c r="BH358" i="2"/>
  <c r="BG358" i="2"/>
  <c r="BK357" i="2"/>
  <c r="BJ357" i="2"/>
  <c r="BI357" i="2"/>
  <c r="BH357" i="2"/>
  <c r="BG357" i="2"/>
  <c r="BK356" i="2"/>
  <c r="BJ356" i="2"/>
  <c r="BI356" i="2"/>
  <c r="BH356" i="2"/>
  <c r="BG356" i="2"/>
  <c r="BK355" i="2"/>
  <c r="BJ355" i="2"/>
  <c r="BI355" i="2"/>
  <c r="BH355" i="2"/>
  <c r="BG355" i="2"/>
  <c r="BK354" i="2"/>
  <c r="BJ354" i="2"/>
  <c r="BI354" i="2"/>
  <c r="BH354" i="2"/>
  <c r="BG354" i="2"/>
  <c r="BK353" i="2"/>
  <c r="BJ353" i="2"/>
  <c r="BI353" i="2"/>
  <c r="BH353" i="2"/>
  <c r="BG353" i="2"/>
  <c r="BK352" i="2"/>
  <c r="BJ352" i="2"/>
  <c r="BI352" i="2"/>
  <c r="BH352" i="2"/>
  <c r="BG352" i="2"/>
  <c r="BK351" i="2"/>
  <c r="BJ351" i="2"/>
  <c r="BI351" i="2"/>
  <c r="BH351" i="2"/>
  <c r="BG351" i="2"/>
  <c r="BK350" i="2"/>
  <c r="BJ350" i="2"/>
  <c r="BI350" i="2"/>
  <c r="BH350" i="2"/>
  <c r="BG350" i="2"/>
  <c r="BK349" i="2"/>
  <c r="BJ349" i="2"/>
  <c r="BI349" i="2"/>
  <c r="BH349" i="2"/>
  <c r="BG349" i="2"/>
  <c r="BK348" i="2"/>
  <c r="BJ348" i="2"/>
  <c r="BI348" i="2"/>
  <c r="BH348" i="2"/>
  <c r="BG348" i="2"/>
  <c r="BK347" i="2"/>
  <c r="BJ347" i="2"/>
  <c r="BI347" i="2"/>
  <c r="BH347" i="2"/>
  <c r="BG347" i="2"/>
  <c r="BK346" i="2"/>
  <c r="BJ346" i="2"/>
  <c r="BI346" i="2"/>
  <c r="BH346" i="2"/>
  <c r="BG346" i="2"/>
  <c r="BK345" i="2"/>
  <c r="BJ345" i="2"/>
  <c r="BI345" i="2"/>
  <c r="BH345" i="2"/>
  <c r="BG345" i="2"/>
  <c r="BK344" i="2"/>
  <c r="BJ344" i="2"/>
  <c r="BI344" i="2"/>
  <c r="BH344" i="2"/>
  <c r="BG344" i="2"/>
  <c r="BK343" i="2"/>
  <c r="BJ343" i="2"/>
  <c r="BI343" i="2"/>
  <c r="BH343" i="2"/>
  <c r="BG343" i="2"/>
  <c r="BK342" i="2"/>
  <c r="BJ342" i="2"/>
  <c r="BI342" i="2"/>
  <c r="BH342" i="2"/>
  <c r="BG342" i="2"/>
  <c r="BK341" i="2"/>
  <c r="BJ341" i="2"/>
  <c r="BI341" i="2"/>
  <c r="BH341" i="2"/>
  <c r="BG341" i="2"/>
  <c r="BK340" i="2"/>
  <c r="BJ340" i="2"/>
  <c r="BI340" i="2"/>
  <c r="BH340" i="2"/>
  <c r="BG340" i="2"/>
  <c r="BK339" i="2"/>
  <c r="BJ339" i="2"/>
  <c r="BI339" i="2"/>
  <c r="BH339" i="2"/>
  <c r="BG339" i="2"/>
  <c r="BK338" i="2"/>
  <c r="BJ338" i="2"/>
  <c r="BI338" i="2"/>
  <c r="BH338" i="2"/>
  <c r="BG338" i="2"/>
  <c r="BK337" i="2"/>
  <c r="BJ337" i="2"/>
  <c r="BI337" i="2"/>
  <c r="BH337" i="2"/>
  <c r="BG337" i="2"/>
  <c r="BK336" i="2"/>
  <c r="BJ336" i="2"/>
  <c r="BI336" i="2"/>
  <c r="BH336" i="2"/>
  <c r="BG336" i="2"/>
  <c r="BK335" i="2"/>
  <c r="BJ335" i="2"/>
  <c r="BI335" i="2"/>
  <c r="BH335" i="2"/>
  <c r="BG335" i="2"/>
  <c r="BK334" i="2"/>
  <c r="BJ334" i="2"/>
  <c r="BI334" i="2"/>
  <c r="BH334" i="2"/>
  <c r="BG334" i="2"/>
  <c r="BK333" i="2"/>
  <c r="BJ333" i="2"/>
  <c r="BI333" i="2"/>
  <c r="BH333" i="2"/>
  <c r="BG333" i="2"/>
  <c r="BK332" i="2"/>
  <c r="BJ332" i="2"/>
  <c r="BI332" i="2"/>
  <c r="BH332" i="2"/>
  <c r="BG332" i="2"/>
  <c r="BK331" i="2"/>
  <c r="BJ331" i="2"/>
  <c r="BI331" i="2"/>
  <c r="BH331" i="2"/>
  <c r="BG331" i="2"/>
  <c r="BK330" i="2"/>
  <c r="BJ330" i="2"/>
  <c r="BI330" i="2"/>
  <c r="BH330" i="2"/>
  <c r="BG330" i="2"/>
  <c r="BK329" i="2"/>
  <c r="BJ329" i="2"/>
  <c r="BI329" i="2"/>
  <c r="BH329" i="2"/>
  <c r="BG329" i="2"/>
  <c r="BK328" i="2"/>
  <c r="BJ328" i="2"/>
  <c r="BI328" i="2"/>
  <c r="BH328" i="2"/>
  <c r="BG328" i="2"/>
  <c r="BK327" i="2"/>
  <c r="BJ327" i="2"/>
  <c r="BI327" i="2"/>
  <c r="BH327" i="2"/>
  <c r="BG327" i="2"/>
  <c r="BK326" i="2"/>
  <c r="BJ326" i="2"/>
  <c r="BI326" i="2"/>
  <c r="BH326" i="2"/>
  <c r="BG326" i="2"/>
  <c r="BK325" i="2"/>
  <c r="BJ325" i="2"/>
  <c r="BI325" i="2"/>
  <c r="BH325" i="2"/>
  <c r="BG325" i="2"/>
  <c r="BK324" i="2"/>
  <c r="BJ324" i="2"/>
  <c r="BI324" i="2"/>
  <c r="BH324" i="2"/>
  <c r="BG324" i="2"/>
  <c r="BK323" i="2"/>
  <c r="BJ323" i="2"/>
  <c r="BI323" i="2"/>
  <c r="BH323" i="2"/>
  <c r="BG323" i="2"/>
  <c r="BK322" i="2"/>
  <c r="BJ322" i="2"/>
  <c r="BI322" i="2"/>
  <c r="BH322" i="2"/>
  <c r="BG322" i="2"/>
  <c r="BK321" i="2"/>
  <c r="BJ321" i="2"/>
  <c r="BI321" i="2"/>
  <c r="BH321" i="2"/>
  <c r="BG321" i="2"/>
  <c r="BK320" i="2"/>
  <c r="BJ320" i="2"/>
  <c r="BI320" i="2"/>
  <c r="BH320" i="2"/>
  <c r="BG320" i="2"/>
  <c r="BK319" i="2"/>
  <c r="BJ319" i="2"/>
  <c r="BI319" i="2"/>
  <c r="BH319" i="2"/>
  <c r="BG319" i="2"/>
  <c r="BK318" i="2"/>
  <c r="BJ318" i="2"/>
  <c r="BI318" i="2"/>
  <c r="BH318" i="2"/>
  <c r="BG318" i="2"/>
  <c r="BK317" i="2"/>
  <c r="BJ317" i="2"/>
  <c r="BI317" i="2"/>
  <c r="BH317" i="2"/>
  <c r="BG317" i="2"/>
  <c r="BK316" i="2"/>
  <c r="BJ316" i="2"/>
  <c r="BI316" i="2"/>
  <c r="BH316" i="2"/>
  <c r="BG316" i="2"/>
  <c r="BK315" i="2"/>
  <c r="BJ315" i="2"/>
  <c r="BI315" i="2"/>
  <c r="BH315" i="2"/>
  <c r="BG315" i="2"/>
  <c r="BK314" i="2"/>
  <c r="BJ314" i="2"/>
  <c r="BI314" i="2"/>
  <c r="BH314" i="2"/>
  <c r="BG314" i="2"/>
  <c r="BK313" i="2"/>
  <c r="BJ313" i="2"/>
  <c r="BI313" i="2"/>
  <c r="BH313" i="2"/>
  <c r="BG313" i="2"/>
  <c r="BK312" i="2"/>
  <c r="BJ312" i="2"/>
  <c r="BI312" i="2"/>
  <c r="BH312" i="2"/>
  <c r="BG312" i="2"/>
  <c r="BK311" i="2"/>
  <c r="BJ311" i="2"/>
  <c r="BI311" i="2"/>
  <c r="BH311" i="2"/>
  <c r="BG311" i="2"/>
  <c r="BK310" i="2"/>
  <c r="BJ310" i="2"/>
  <c r="BI310" i="2"/>
  <c r="BH310" i="2"/>
  <c r="BG310" i="2"/>
  <c r="BK309" i="2"/>
  <c r="BJ309" i="2"/>
  <c r="BI309" i="2"/>
  <c r="BH309" i="2"/>
  <c r="BG309" i="2"/>
  <c r="BK308" i="2"/>
  <c r="BJ308" i="2"/>
  <c r="BI308" i="2"/>
  <c r="BH308" i="2"/>
  <c r="BG308" i="2"/>
  <c r="BK307" i="2"/>
  <c r="BJ307" i="2"/>
  <c r="BI307" i="2"/>
  <c r="BH307" i="2"/>
  <c r="BG307" i="2"/>
  <c r="BK306" i="2"/>
  <c r="BJ306" i="2"/>
  <c r="BI306" i="2"/>
  <c r="BH306" i="2"/>
  <c r="BG306" i="2"/>
  <c r="BK305" i="2"/>
  <c r="BJ305" i="2"/>
  <c r="BI305" i="2"/>
  <c r="BH305" i="2"/>
  <c r="BG305" i="2"/>
  <c r="BK304" i="2"/>
  <c r="BJ304" i="2"/>
  <c r="BI304" i="2"/>
  <c r="BH304" i="2"/>
  <c r="BG304" i="2"/>
  <c r="BK303" i="2"/>
  <c r="BJ303" i="2"/>
  <c r="BI303" i="2"/>
  <c r="BH303" i="2"/>
  <c r="BG303" i="2"/>
  <c r="BK302" i="2"/>
  <c r="BJ302" i="2"/>
  <c r="BI302" i="2"/>
  <c r="BH302" i="2"/>
  <c r="BG302" i="2"/>
  <c r="BK301" i="2"/>
  <c r="BJ301" i="2"/>
  <c r="BI301" i="2"/>
  <c r="BH301" i="2"/>
  <c r="BG301" i="2"/>
  <c r="BK300" i="2"/>
  <c r="BJ300" i="2"/>
  <c r="BI300" i="2"/>
  <c r="BH300" i="2"/>
  <c r="BG300" i="2"/>
  <c r="BK299" i="2"/>
  <c r="BJ299" i="2"/>
  <c r="BI299" i="2"/>
  <c r="BH299" i="2"/>
  <c r="BG299" i="2"/>
  <c r="BK298" i="2"/>
  <c r="BJ298" i="2"/>
  <c r="BI298" i="2"/>
  <c r="BH298" i="2"/>
  <c r="BG298" i="2"/>
  <c r="BK297" i="2"/>
  <c r="BJ297" i="2"/>
  <c r="BI297" i="2"/>
  <c r="BH297" i="2"/>
  <c r="BG297" i="2"/>
  <c r="BK296" i="2"/>
  <c r="BJ296" i="2"/>
  <c r="BI296" i="2"/>
  <c r="BH296" i="2"/>
  <c r="BG296" i="2"/>
  <c r="BK295" i="2"/>
  <c r="BJ295" i="2"/>
  <c r="BI295" i="2"/>
  <c r="BH295" i="2"/>
  <c r="BG295" i="2"/>
  <c r="BK294" i="2"/>
  <c r="BJ294" i="2"/>
  <c r="BI294" i="2"/>
  <c r="BH294" i="2"/>
  <c r="BG294" i="2"/>
  <c r="BK293" i="2"/>
  <c r="BJ293" i="2"/>
  <c r="BI293" i="2"/>
  <c r="BH293" i="2"/>
  <c r="BG293" i="2"/>
  <c r="BK292" i="2"/>
  <c r="BJ292" i="2"/>
  <c r="BI292" i="2"/>
  <c r="BH292" i="2"/>
  <c r="BG292" i="2"/>
  <c r="BK291" i="2"/>
  <c r="BJ291" i="2"/>
  <c r="BI291" i="2"/>
  <c r="BH291" i="2"/>
  <c r="BG291" i="2"/>
  <c r="BK290" i="2"/>
  <c r="BJ290" i="2"/>
  <c r="BI290" i="2"/>
  <c r="BH290" i="2"/>
  <c r="BG290" i="2"/>
  <c r="BK289" i="2"/>
  <c r="BJ289" i="2"/>
  <c r="BI289" i="2"/>
  <c r="BH289" i="2"/>
  <c r="BG289" i="2"/>
  <c r="BK288" i="2"/>
  <c r="BJ288" i="2"/>
  <c r="BI288" i="2"/>
  <c r="BH288" i="2"/>
  <c r="BG288" i="2"/>
  <c r="BK287" i="2"/>
  <c r="BJ287" i="2"/>
  <c r="BI287" i="2"/>
  <c r="BH287" i="2"/>
  <c r="BG287" i="2"/>
  <c r="BK286" i="2"/>
  <c r="BJ286" i="2"/>
  <c r="BI286" i="2"/>
  <c r="BH286" i="2"/>
  <c r="BG286" i="2"/>
  <c r="BK285" i="2"/>
  <c r="BJ285" i="2"/>
  <c r="BI285" i="2"/>
  <c r="BH285" i="2"/>
  <c r="BG285" i="2"/>
  <c r="BK284" i="2"/>
  <c r="BJ284" i="2"/>
  <c r="BI284" i="2"/>
  <c r="BH284" i="2"/>
  <c r="BG284" i="2"/>
  <c r="BK283" i="2"/>
  <c r="BJ283" i="2"/>
  <c r="BI283" i="2"/>
  <c r="BH283" i="2"/>
  <c r="BG283" i="2"/>
  <c r="BK282" i="2"/>
  <c r="BJ282" i="2"/>
  <c r="BI282" i="2"/>
  <c r="BH282" i="2"/>
  <c r="BG282" i="2"/>
  <c r="BK281" i="2"/>
  <c r="BJ281" i="2"/>
  <c r="BI281" i="2"/>
  <c r="BH281" i="2"/>
  <c r="BG281" i="2"/>
  <c r="BK280" i="2"/>
  <c r="BJ280" i="2"/>
  <c r="BI280" i="2"/>
  <c r="BH280" i="2"/>
  <c r="BG280" i="2"/>
  <c r="BK279" i="2"/>
  <c r="BJ279" i="2"/>
  <c r="BI279" i="2"/>
  <c r="BH279" i="2"/>
  <c r="BG279" i="2"/>
  <c r="BK278" i="2"/>
  <c r="BJ278" i="2"/>
  <c r="BI278" i="2"/>
  <c r="BH278" i="2"/>
  <c r="BG278" i="2"/>
  <c r="BK277" i="2"/>
  <c r="BJ277" i="2"/>
  <c r="BI277" i="2"/>
  <c r="BH277" i="2"/>
  <c r="BG277" i="2"/>
  <c r="BK276" i="2"/>
  <c r="BJ276" i="2"/>
  <c r="BI276" i="2"/>
  <c r="BH276" i="2"/>
  <c r="BG276" i="2"/>
  <c r="BK275" i="2"/>
  <c r="BJ275" i="2"/>
  <c r="BI275" i="2"/>
  <c r="BH275" i="2"/>
  <c r="BG275" i="2"/>
  <c r="BK274" i="2"/>
  <c r="BJ274" i="2"/>
  <c r="BI274" i="2"/>
  <c r="BH274" i="2"/>
  <c r="BG274" i="2"/>
  <c r="BK273" i="2"/>
  <c r="BJ273" i="2"/>
  <c r="BI273" i="2"/>
  <c r="BH273" i="2"/>
  <c r="BG273" i="2"/>
  <c r="BK272" i="2"/>
  <c r="BJ272" i="2"/>
  <c r="BI272" i="2"/>
  <c r="BH272" i="2"/>
  <c r="BG272" i="2"/>
  <c r="BK271" i="2"/>
  <c r="BJ271" i="2"/>
  <c r="BI271" i="2"/>
  <c r="BH271" i="2"/>
  <c r="BG271" i="2"/>
  <c r="BK270" i="2"/>
  <c r="BJ270" i="2"/>
  <c r="BI270" i="2"/>
  <c r="BH270" i="2"/>
  <c r="BG270" i="2"/>
  <c r="BK269" i="2"/>
  <c r="BJ269" i="2"/>
  <c r="BI269" i="2"/>
  <c r="BH269" i="2"/>
  <c r="BG269" i="2"/>
  <c r="BK268" i="2"/>
  <c r="BJ268" i="2"/>
  <c r="BI268" i="2"/>
  <c r="BH268" i="2"/>
  <c r="BG268" i="2"/>
  <c r="BK267" i="2"/>
  <c r="BJ267" i="2"/>
  <c r="BI267" i="2"/>
  <c r="BH267" i="2"/>
  <c r="BG267" i="2"/>
  <c r="BK266" i="2"/>
  <c r="BJ266" i="2"/>
  <c r="BI266" i="2"/>
  <c r="BH266" i="2"/>
  <c r="BG266" i="2"/>
  <c r="BK265" i="2"/>
  <c r="BJ265" i="2"/>
  <c r="BI265" i="2"/>
  <c r="BH265" i="2"/>
  <c r="BG265" i="2"/>
  <c r="BK264" i="2"/>
  <c r="BJ264" i="2"/>
  <c r="BI264" i="2"/>
  <c r="BH264" i="2"/>
  <c r="BG264" i="2"/>
  <c r="BK263" i="2"/>
  <c r="BJ263" i="2"/>
  <c r="BI263" i="2"/>
  <c r="BH263" i="2"/>
  <c r="BG263" i="2"/>
  <c r="BK262" i="2"/>
  <c r="BJ262" i="2"/>
  <c r="BI262" i="2"/>
  <c r="BH262" i="2"/>
  <c r="BG262" i="2"/>
  <c r="BK261" i="2"/>
  <c r="BJ261" i="2"/>
  <c r="BI261" i="2"/>
  <c r="BH261" i="2"/>
  <c r="BG261" i="2"/>
  <c r="BK260" i="2"/>
  <c r="BJ260" i="2"/>
  <c r="BI260" i="2"/>
  <c r="BH260" i="2"/>
  <c r="BG260" i="2"/>
  <c r="BK259" i="2"/>
  <c r="BJ259" i="2"/>
  <c r="BI259" i="2"/>
  <c r="BH259" i="2"/>
  <c r="BG259" i="2"/>
  <c r="BK258" i="2"/>
  <c r="BJ258" i="2"/>
  <c r="BI258" i="2"/>
  <c r="BH258" i="2"/>
  <c r="BG258" i="2"/>
  <c r="BK257" i="2"/>
  <c r="BJ257" i="2"/>
  <c r="BI257" i="2"/>
  <c r="BH257" i="2"/>
  <c r="BG257" i="2"/>
  <c r="BK256" i="2"/>
  <c r="BJ256" i="2"/>
  <c r="BI256" i="2"/>
  <c r="BH256" i="2"/>
  <c r="BG256" i="2"/>
  <c r="BK255" i="2"/>
  <c r="BJ255" i="2"/>
  <c r="BI255" i="2"/>
  <c r="BH255" i="2"/>
  <c r="BG255" i="2"/>
  <c r="BK254" i="2"/>
  <c r="BJ254" i="2"/>
  <c r="BI254" i="2"/>
  <c r="BH254" i="2"/>
  <c r="BG254" i="2"/>
  <c r="BK253" i="2"/>
  <c r="BJ253" i="2"/>
  <c r="BI253" i="2"/>
  <c r="BH253" i="2"/>
  <c r="BG253" i="2"/>
  <c r="BK252" i="2"/>
  <c r="BJ252" i="2"/>
  <c r="BI252" i="2"/>
  <c r="BH252" i="2"/>
  <c r="BG252" i="2"/>
  <c r="BK251" i="2"/>
  <c r="BJ251" i="2"/>
  <c r="BI251" i="2"/>
  <c r="BH251" i="2"/>
  <c r="BG251" i="2"/>
  <c r="BK250" i="2"/>
  <c r="BJ250" i="2"/>
  <c r="BI250" i="2"/>
  <c r="BH250" i="2"/>
  <c r="BG250" i="2"/>
  <c r="BK249" i="2"/>
  <c r="BJ249" i="2"/>
  <c r="BI249" i="2"/>
  <c r="BH249" i="2"/>
  <c r="BG249" i="2"/>
  <c r="BK248" i="2"/>
  <c r="BJ248" i="2"/>
  <c r="BI248" i="2"/>
  <c r="BH248" i="2"/>
  <c r="BG248" i="2"/>
  <c r="BK247" i="2"/>
  <c r="BJ247" i="2"/>
  <c r="BI247" i="2"/>
  <c r="BH247" i="2"/>
  <c r="BG247" i="2"/>
  <c r="BK246" i="2"/>
  <c r="BJ246" i="2"/>
  <c r="BI246" i="2"/>
  <c r="BH246" i="2"/>
  <c r="BG246" i="2"/>
  <c r="BK245" i="2"/>
  <c r="BJ245" i="2"/>
  <c r="BI245" i="2"/>
  <c r="BH245" i="2"/>
  <c r="BG245" i="2"/>
  <c r="BK244" i="2"/>
  <c r="BJ244" i="2"/>
  <c r="BI244" i="2"/>
  <c r="BH244" i="2"/>
  <c r="BG244" i="2"/>
  <c r="BK243" i="2"/>
  <c r="BJ243" i="2"/>
  <c r="BI243" i="2"/>
  <c r="BH243" i="2"/>
  <c r="BG243" i="2"/>
  <c r="BK242" i="2"/>
  <c r="BJ242" i="2"/>
  <c r="BI242" i="2"/>
  <c r="BH242" i="2"/>
  <c r="BG242" i="2"/>
  <c r="BK241" i="2"/>
  <c r="BJ241" i="2"/>
  <c r="BI241" i="2"/>
  <c r="BH241" i="2"/>
  <c r="BG241" i="2"/>
  <c r="BK240" i="2"/>
  <c r="BJ240" i="2"/>
  <c r="BI240" i="2"/>
  <c r="BH240" i="2"/>
  <c r="BG240" i="2"/>
  <c r="BK239" i="2"/>
  <c r="BJ239" i="2"/>
  <c r="BI239" i="2"/>
  <c r="BH239" i="2"/>
  <c r="BG239" i="2"/>
  <c r="BK238" i="2"/>
  <c r="BJ238" i="2"/>
  <c r="BI238" i="2"/>
  <c r="BH238" i="2"/>
  <c r="BG238" i="2"/>
  <c r="BK237" i="2"/>
  <c r="BJ237" i="2"/>
  <c r="BI237" i="2"/>
  <c r="BH237" i="2"/>
  <c r="BG237" i="2"/>
  <c r="BK236" i="2"/>
  <c r="BJ236" i="2"/>
  <c r="BI236" i="2"/>
  <c r="BH236" i="2"/>
  <c r="BG236" i="2"/>
  <c r="BK235" i="2"/>
  <c r="BJ235" i="2"/>
  <c r="BI235" i="2"/>
  <c r="BH235" i="2"/>
  <c r="BG235" i="2"/>
  <c r="BK234" i="2"/>
  <c r="BJ234" i="2"/>
  <c r="BI234" i="2"/>
  <c r="BH234" i="2"/>
  <c r="BG234" i="2"/>
  <c r="BK233" i="2"/>
  <c r="BJ233" i="2"/>
  <c r="BI233" i="2"/>
  <c r="BH233" i="2"/>
  <c r="BG233" i="2"/>
  <c r="BK232" i="2"/>
  <c r="BJ232" i="2"/>
  <c r="BI232" i="2"/>
  <c r="BH232" i="2"/>
  <c r="BG232" i="2"/>
  <c r="BK231" i="2"/>
  <c r="BJ231" i="2"/>
  <c r="BI231" i="2"/>
  <c r="BH231" i="2"/>
  <c r="BG231" i="2"/>
  <c r="BK230" i="2"/>
  <c r="BJ230" i="2"/>
  <c r="BI230" i="2"/>
  <c r="BH230" i="2"/>
  <c r="BG230" i="2"/>
  <c r="BK229" i="2"/>
  <c r="BJ229" i="2"/>
  <c r="BI229" i="2"/>
  <c r="BH229" i="2"/>
  <c r="BG229" i="2"/>
  <c r="BK228" i="2"/>
  <c r="BJ228" i="2"/>
  <c r="BI228" i="2"/>
  <c r="BH228" i="2"/>
  <c r="BG228" i="2"/>
  <c r="BK227" i="2"/>
  <c r="BJ227" i="2"/>
  <c r="BI227" i="2"/>
  <c r="BH227" i="2"/>
  <c r="BG227" i="2"/>
  <c r="BK226" i="2"/>
  <c r="BJ226" i="2"/>
  <c r="BI226" i="2"/>
  <c r="BH226" i="2"/>
  <c r="BG226" i="2"/>
  <c r="BK225" i="2"/>
  <c r="BJ225" i="2"/>
  <c r="BI225" i="2"/>
  <c r="BH225" i="2"/>
  <c r="BG225" i="2"/>
  <c r="BK224" i="2"/>
  <c r="BJ224" i="2"/>
  <c r="BI224" i="2"/>
  <c r="BH224" i="2"/>
  <c r="BG224" i="2"/>
  <c r="BK223" i="2"/>
  <c r="BJ223" i="2"/>
  <c r="BI223" i="2"/>
  <c r="BH223" i="2"/>
  <c r="BG223" i="2"/>
  <c r="BK222" i="2"/>
  <c r="BJ222" i="2"/>
  <c r="BI222" i="2"/>
  <c r="BH222" i="2"/>
  <c r="BG222" i="2"/>
  <c r="BK221" i="2"/>
  <c r="BJ221" i="2"/>
  <c r="BI221" i="2"/>
  <c r="BH221" i="2"/>
  <c r="BG221" i="2"/>
  <c r="BK220" i="2"/>
  <c r="BJ220" i="2"/>
  <c r="BI220" i="2"/>
  <c r="BH220" i="2"/>
  <c r="BG220" i="2"/>
  <c r="BK219" i="2"/>
  <c r="BJ219" i="2"/>
  <c r="BI219" i="2"/>
  <c r="BH219" i="2"/>
  <c r="BG219" i="2"/>
  <c r="BK218" i="2"/>
  <c r="BJ218" i="2"/>
  <c r="BI218" i="2"/>
  <c r="BH218" i="2"/>
  <c r="BG218" i="2"/>
  <c r="BK217" i="2"/>
  <c r="BJ217" i="2"/>
  <c r="BI217" i="2"/>
  <c r="BH217" i="2"/>
  <c r="BG217" i="2"/>
  <c r="BK216" i="2"/>
  <c r="BJ216" i="2"/>
  <c r="BI216" i="2"/>
  <c r="BH216" i="2"/>
  <c r="BG216" i="2"/>
  <c r="BK215" i="2"/>
  <c r="BJ215" i="2"/>
  <c r="BI215" i="2"/>
  <c r="BH215" i="2"/>
  <c r="BG215" i="2"/>
  <c r="BK214" i="2"/>
  <c r="BJ214" i="2"/>
  <c r="BI214" i="2"/>
  <c r="BH214" i="2"/>
  <c r="BG214" i="2"/>
  <c r="BK213" i="2"/>
  <c r="BJ213" i="2"/>
  <c r="BI213" i="2"/>
  <c r="BH213" i="2"/>
  <c r="BG213" i="2"/>
  <c r="BK212" i="2"/>
  <c r="BJ212" i="2"/>
  <c r="BI212" i="2"/>
  <c r="BH212" i="2"/>
  <c r="BG212" i="2"/>
  <c r="BK211" i="2"/>
  <c r="BJ211" i="2"/>
  <c r="BI211" i="2"/>
  <c r="BH211" i="2"/>
  <c r="BG211" i="2"/>
  <c r="BK210" i="2"/>
  <c r="BJ210" i="2"/>
  <c r="BI210" i="2"/>
  <c r="BH210" i="2"/>
  <c r="BG210" i="2"/>
  <c r="BK209" i="2"/>
  <c r="BJ209" i="2"/>
  <c r="BI209" i="2"/>
  <c r="BH209" i="2"/>
  <c r="BG209" i="2"/>
  <c r="BK208" i="2"/>
  <c r="BJ208" i="2"/>
  <c r="BI208" i="2"/>
  <c r="BH208" i="2"/>
  <c r="BG208" i="2"/>
  <c r="BK207" i="2"/>
  <c r="BJ207" i="2"/>
  <c r="BI207" i="2"/>
  <c r="BH207" i="2"/>
  <c r="BG207" i="2"/>
  <c r="BK206" i="2"/>
  <c r="BJ206" i="2"/>
  <c r="BI206" i="2"/>
  <c r="BH206" i="2"/>
  <c r="BG206" i="2"/>
  <c r="BK205" i="2"/>
  <c r="BJ205" i="2"/>
  <c r="BI205" i="2"/>
  <c r="BH205" i="2"/>
  <c r="BG205" i="2"/>
  <c r="BK204" i="2"/>
  <c r="BJ204" i="2"/>
  <c r="BI204" i="2"/>
  <c r="BH204" i="2"/>
  <c r="BG204" i="2"/>
  <c r="BK203" i="2"/>
  <c r="BJ203" i="2"/>
  <c r="BI203" i="2"/>
  <c r="BH203" i="2"/>
  <c r="BG203" i="2"/>
  <c r="BK202" i="2"/>
  <c r="BJ202" i="2"/>
  <c r="BI202" i="2"/>
  <c r="BH202" i="2"/>
  <c r="BG202" i="2"/>
  <c r="BK201" i="2"/>
  <c r="BJ201" i="2"/>
  <c r="BI201" i="2"/>
  <c r="BH201" i="2"/>
  <c r="BG201" i="2"/>
  <c r="BK200" i="2"/>
  <c r="BJ200" i="2"/>
  <c r="BI200" i="2"/>
  <c r="BH200" i="2"/>
  <c r="BG200" i="2"/>
  <c r="BK199" i="2"/>
  <c r="BJ199" i="2"/>
  <c r="BI199" i="2"/>
  <c r="BH199" i="2"/>
  <c r="BG199" i="2"/>
  <c r="BK198" i="2"/>
  <c r="BJ198" i="2"/>
  <c r="BI198" i="2"/>
  <c r="BH198" i="2"/>
  <c r="BG198" i="2"/>
  <c r="BK197" i="2"/>
  <c r="BJ197" i="2"/>
  <c r="BI197" i="2"/>
  <c r="BH197" i="2"/>
  <c r="BG197" i="2"/>
  <c r="BK196" i="2"/>
  <c r="BJ196" i="2"/>
  <c r="BI196" i="2"/>
  <c r="BH196" i="2"/>
  <c r="BG196" i="2"/>
  <c r="BK195" i="2"/>
  <c r="BJ195" i="2"/>
  <c r="BI195" i="2"/>
  <c r="BH195" i="2"/>
  <c r="BG195" i="2"/>
  <c r="BK194" i="2"/>
  <c r="BJ194" i="2"/>
  <c r="BI194" i="2"/>
  <c r="BH194" i="2"/>
  <c r="BG194" i="2"/>
  <c r="BK193" i="2"/>
  <c r="BJ193" i="2"/>
  <c r="BI193" i="2"/>
  <c r="BH193" i="2"/>
  <c r="BG193" i="2"/>
  <c r="BK192" i="2"/>
  <c r="BJ192" i="2"/>
  <c r="BI192" i="2"/>
  <c r="BH192" i="2"/>
  <c r="BG192" i="2"/>
  <c r="BK191" i="2"/>
  <c r="BJ191" i="2"/>
  <c r="BI191" i="2"/>
  <c r="BH191" i="2"/>
  <c r="BG191" i="2"/>
  <c r="BK190" i="2"/>
  <c r="BJ190" i="2"/>
  <c r="BI190" i="2"/>
  <c r="BH190" i="2"/>
  <c r="BG190" i="2"/>
  <c r="BK189" i="2"/>
  <c r="BJ189" i="2"/>
  <c r="BI189" i="2"/>
  <c r="BH189" i="2"/>
  <c r="BG189" i="2"/>
  <c r="BK188" i="2"/>
  <c r="BJ188" i="2"/>
  <c r="BI188" i="2"/>
  <c r="BH188" i="2"/>
  <c r="BG188" i="2"/>
  <c r="BJ187" i="2"/>
  <c r="BI187" i="2"/>
  <c r="BK187" i="2" s="1"/>
  <c r="BH187" i="2"/>
  <c r="BG187" i="2"/>
  <c r="BJ186" i="2"/>
  <c r="BI186" i="2"/>
  <c r="BK186" i="2" s="1"/>
  <c r="BH186" i="2"/>
  <c r="BG186" i="2"/>
  <c r="BJ185" i="2"/>
  <c r="BI185" i="2"/>
  <c r="BK185" i="2" s="1"/>
  <c r="BH185" i="2"/>
  <c r="BG185" i="2"/>
  <c r="BJ184" i="2"/>
  <c r="BI184" i="2"/>
  <c r="BK184" i="2" s="1"/>
  <c r="BH184" i="2"/>
  <c r="BG184" i="2"/>
  <c r="BJ183" i="2"/>
  <c r="BI183" i="2"/>
  <c r="BK183" i="2" s="1"/>
  <c r="BH183" i="2"/>
  <c r="BG183" i="2"/>
  <c r="BJ182" i="2"/>
  <c r="BI182" i="2"/>
  <c r="BK182" i="2" s="1"/>
  <c r="BH182" i="2"/>
  <c r="BG182" i="2"/>
  <c r="BJ181" i="2"/>
  <c r="BI181" i="2"/>
  <c r="BK181" i="2" s="1"/>
  <c r="BH181" i="2"/>
  <c r="BG181" i="2"/>
  <c r="BJ180" i="2"/>
  <c r="BI180" i="2"/>
  <c r="BK180" i="2" s="1"/>
  <c r="BH180" i="2"/>
  <c r="BG180" i="2"/>
  <c r="BJ179" i="2"/>
  <c r="BI179" i="2"/>
  <c r="BK179" i="2" s="1"/>
  <c r="BH179" i="2"/>
  <c r="BG179" i="2"/>
  <c r="BJ178" i="2"/>
  <c r="BI178" i="2"/>
  <c r="BK178" i="2" s="1"/>
  <c r="BH178" i="2"/>
  <c r="BG178" i="2"/>
  <c r="BJ177" i="2"/>
  <c r="BI177" i="2"/>
  <c r="BK177" i="2" s="1"/>
  <c r="BH177" i="2"/>
  <c r="BG177" i="2"/>
  <c r="BJ176" i="2"/>
  <c r="BI176" i="2"/>
  <c r="BK176" i="2" s="1"/>
  <c r="BH176" i="2"/>
  <c r="BG176" i="2"/>
  <c r="BJ175" i="2"/>
  <c r="BI175" i="2"/>
  <c r="BK175" i="2" s="1"/>
  <c r="BH175" i="2"/>
  <c r="BG175" i="2"/>
  <c r="BJ174" i="2"/>
  <c r="BI174" i="2"/>
  <c r="BK174" i="2" s="1"/>
  <c r="BH174" i="2"/>
  <c r="BG174" i="2"/>
  <c r="BJ173" i="2"/>
  <c r="BI173" i="2"/>
  <c r="BK173" i="2" s="1"/>
  <c r="BH173" i="2"/>
  <c r="BG173" i="2"/>
  <c r="BJ172" i="2"/>
  <c r="BI172" i="2"/>
  <c r="BK172" i="2" s="1"/>
  <c r="BH172" i="2"/>
  <c r="BG172" i="2"/>
  <c r="BJ171" i="2"/>
  <c r="BI171" i="2"/>
  <c r="BK171" i="2" s="1"/>
  <c r="BH171" i="2"/>
  <c r="BG171" i="2"/>
  <c r="BJ170" i="2"/>
  <c r="BI170" i="2"/>
  <c r="BK170" i="2" s="1"/>
  <c r="BH170" i="2"/>
  <c r="BG170" i="2"/>
  <c r="BJ169" i="2"/>
  <c r="BI169" i="2"/>
  <c r="BK169" i="2" s="1"/>
  <c r="BH169" i="2"/>
  <c r="BG169" i="2"/>
  <c r="BJ168" i="2"/>
  <c r="BI168" i="2"/>
  <c r="BK168" i="2" s="1"/>
  <c r="BH168" i="2"/>
  <c r="BG168" i="2"/>
  <c r="BJ167" i="2"/>
  <c r="BI167" i="2"/>
  <c r="BK167" i="2" s="1"/>
  <c r="BH167" i="2"/>
  <c r="BG167" i="2"/>
  <c r="BJ166" i="2"/>
  <c r="BI166" i="2"/>
  <c r="BK166" i="2" s="1"/>
  <c r="BH166" i="2"/>
  <c r="BG166" i="2"/>
  <c r="BJ165" i="2"/>
  <c r="BI165" i="2"/>
  <c r="BK165" i="2" s="1"/>
  <c r="BH165" i="2"/>
  <c r="BG165" i="2"/>
  <c r="BJ164" i="2"/>
  <c r="H252" i="1" s="1"/>
  <c r="BI164" i="2"/>
  <c r="BK164" i="2" s="1"/>
  <c r="BH164" i="2"/>
  <c r="BG164" i="2"/>
  <c r="BJ163" i="2"/>
  <c r="BI163" i="2"/>
  <c r="BK163" i="2" s="1"/>
  <c r="BH163" i="2"/>
  <c r="BG163" i="2"/>
  <c r="BJ162" i="2"/>
  <c r="BI162" i="2"/>
  <c r="BK162" i="2" s="1"/>
  <c r="BH162" i="2"/>
  <c r="BG162" i="2"/>
  <c r="BJ161" i="2"/>
  <c r="BI161" i="2"/>
  <c r="BK161" i="2" s="1"/>
  <c r="BH161" i="2"/>
  <c r="BG161" i="2"/>
  <c r="BJ160" i="2"/>
  <c r="BI160" i="2"/>
  <c r="BK160" i="2" s="1"/>
  <c r="BH160" i="2"/>
  <c r="BG160" i="2"/>
  <c r="BJ159" i="2"/>
  <c r="BI159" i="2"/>
  <c r="BK159" i="2" s="1"/>
  <c r="BH159" i="2"/>
  <c r="BG159" i="2"/>
  <c r="BJ158" i="2"/>
  <c r="H246" i="1" s="1"/>
  <c r="BI158" i="2"/>
  <c r="BK158" i="2" s="1"/>
  <c r="BH158" i="2"/>
  <c r="BG158" i="2"/>
  <c r="BJ157" i="2"/>
  <c r="BI157" i="2"/>
  <c r="BK157" i="2" s="1"/>
  <c r="BH157" i="2"/>
  <c r="BG157" i="2"/>
  <c r="BJ156" i="2"/>
  <c r="BI156" i="2"/>
  <c r="BK156" i="2" s="1"/>
  <c r="BH156" i="2"/>
  <c r="BG156" i="2"/>
  <c r="BJ155" i="2"/>
  <c r="BI155" i="2"/>
  <c r="BK155" i="2" s="1"/>
  <c r="BH155" i="2"/>
  <c r="BG155" i="2"/>
  <c r="BJ154" i="2"/>
  <c r="BI154" i="2"/>
  <c r="BK154" i="2" s="1"/>
  <c r="BH154" i="2"/>
  <c r="BG154" i="2"/>
  <c r="BJ153" i="2"/>
  <c r="BI153" i="2"/>
  <c r="BK153" i="2" s="1"/>
  <c r="BH153" i="2"/>
  <c r="BG153" i="2"/>
  <c r="BJ152" i="2"/>
  <c r="H240" i="1" s="1"/>
  <c r="BI152" i="2"/>
  <c r="BK152" i="2" s="1"/>
  <c r="BH152" i="2"/>
  <c r="BG152" i="2"/>
  <c r="BJ151" i="2"/>
  <c r="BI151" i="2"/>
  <c r="BK151" i="2" s="1"/>
  <c r="BH151" i="2"/>
  <c r="BG151" i="2"/>
  <c r="BJ150" i="2"/>
  <c r="BI150" i="2"/>
  <c r="BK150" i="2" s="1"/>
  <c r="BH150" i="2"/>
  <c r="BG150" i="2"/>
  <c r="BJ149" i="2"/>
  <c r="BI149" i="2"/>
  <c r="BK149" i="2" s="1"/>
  <c r="BH149" i="2"/>
  <c r="BG149" i="2"/>
  <c r="BJ148" i="2"/>
  <c r="BI148" i="2"/>
  <c r="BK148" i="2" s="1"/>
  <c r="BH148" i="2"/>
  <c r="BG148" i="2"/>
  <c r="BJ147" i="2"/>
  <c r="BI147" i="2"/>
  <c r="BK147" i="2" s="1"/>
  <c r="BH147" i="2"/>
  <c r="BG147" i="2"/>
  <c r="BJ146" i="2"/>
  <c r="BI146" i="2"/>
  <c r="BK146" i="2" s="1"/>
  <c r="BH146" i="2"/>
  <c r="BG146" i="2"/>
  <c r="BJ145" i="2"/>
  <c r="BI145" i="2"/>
  <c r="BK145" i="2" s="1"/>
  <c r="BH145" i="2"/>
  <c r="BG145" i="2"/>
  <c r="BJ144" i="2"/>
  <c r="BI144" i="2"/>
  <c r="BK144" i="2" s="1"/>
  <c r="BH144" i="2"/>
  <c r="BG144" i="2"/>
  <c r="BJ143" i="2"/>
  <c r="BI143" i="2"/>
  <c r="BK143" i="2" s="1"/>
  <c r="BH143" i="2"/>
  <c r="BG143" i="2"/>
  <c r="BJ142" i="2"/>
  <c r="BI142" i="2"/>
  <c r="BK142" i="2" s="1"/>
  <c r="BH142" i="2"/>
  <c r="BG142" i="2"/>
  <c r="BJ141" i="2"/>
  <c r="BI141" i="2"/>
  <c r="BK141" i="2" s="1"/>
  <c r="BH141" i="2"/>
  <c r="BG141" i="2"/>
  <c r="BJ140" i="2"/>
  <c r="BI140" i="2"/>
  <c r="BK140" i="2" s="1"/>
  <c r="BH140" i="2"/>
  <c r="BG140" i="2"/>
  <c r="BJ139" i="2"/>
  <c r="BI139" i="2"/>
  <c r="BK139" i="2" s="1"/>
  <c r="BH139" i="2"/>
  <c r="BG139" i="2"/>
  <c r="BJ138" i="2"/>
  <c r="BI138" i="2"/>
  <c r="BK138" i="2" s="1"/>
  <c r="BH138" i="2"/>
  <c r="BG138" i="2"/>
  <c r="BJ137" i="2"/>
  <c r="BI137" i="2"/>
  <c r="BK137" i="2" s="1"/>
  <c r="BH137" i="2"/>
  <c r="BG137" i="2"/>
  <c r="BJ136" i="2"/>
  <c r="BI136" i="2"/>
  <c r="BK136" i="2" s="1"/>
  <c r="BH136" i="2"/>
  <c r="BG136" i="2"/>
  <c r="BJ135" i="2"/>
  <c r="BI135" i="2"/>
  <c r="BK135" i="2" s="1"/>
  <c r="BH135" i="2"/>
  <c r="BG135" i="2"/>
  <c r="BJ134" i="2"/>
  <c r="H222" i="1" s="1"/>
  <c r="BI134" i="2"/>
  <c r="BK134" i="2" s="1"/>
  <c r="BH134" i="2"/>
  <c r="BG134" i="2"/>
  <c r="BJ133" i="2"/>
  <c r="BI133" i="2"/>
  <c r="BK133" i="2" s="1"/>
  <c r="BH133" i="2"/>
  <c r="BG133" i="2"/>
  <c r="BJ132" i="2"/>
  <c r="BI132" i="2"/>
  <c r="BK132" i="2" s="1"/>
  <c r="BH132" i="2"/>
  <c r="BG132" i="2"/>
  <c r="BJ131" i="2"/>
  <c r="BI131" i="2"/>
  <c r="BK131" i="2" s="1"/>
  <c r="BH131" i="2"/>
  <c r="BG131" i="2"/>
  <c r="BJ130" i="2"/>
  <c r="BI130" i="2"/>
  <c r="BK130" i="2" s="1"/>
  <c r="BH130" i="2"/>
  <c r="BG130" i="2"/>
  <c r="BJ129" i="2"/>
  <c r="BI129" i="2"/>
  <c r="BK129" i="2" s="1"/>
  <c r="BH129" i="2"/>
  <c r="BG129" i="2"/>
  <c r="BJ128" i="2"/>
  <c r="BI128" i="2"/>
  <c r="BK128" i="2" s="1"/>
  <c r="BH128" i="2"/>
  <c r="BG128" i="2"/>
  <c r="BJ127" i="2"/>
  <c r="BI127" i="2"/>
  <c r="BK127" i="2" s="1"/>
  <c r="BH127" i="2"/>
  <c r="BG127" i="2"/>
  <c r="BJ126" i="2"/>
  <c r="BI126" i="2"/>
  <c r="BK126" i="2" s="1"/>
  <c r="BH126" i="2"/>
  <c r="BG126" i="2"/>
  <c r="BJ125" i="2"/>
  <c r="BI125" i="2"/>
  <c r="BK125" i="2" s="1"/>
  <c r="BH125" i="2"/>
  <c r="BG125" i="2"/>
  <c r="BJ124" i="2"/>
  <c r="BI124" i="2"/>
  <c r="BK124" i="2" s="1"/>
  <c r="BH124" i="2"/>
  <c r="BG124" i="2"/>
  <c r="BJ123" i="2"/>
  <c r="BI123" i="2"/>
  <c r="BK123" i="2" s="1"/>
  <c r="BH123" i="2"/>
  <c r="BG123" i="2"/>
  <c r="BJ122" i="2"/>
  <c r="BI122" i="2"/>
  <c r="BK122" i="2" s="1"/>
  <c r="BH122" i="2"/>
  <c r="BG122" i="2"/>
  <c r="BJ121" i="2"/>
  <c r="BI121" i="2"/>
  <c r="BK121" i="2" s="1"/>
  <c r="BH121" i="2"/>
  <c r="BG121" i="2"/>
  <c r="BJ120" i="2"/>
  <c r="BI120" i="2"/>
  <c r="BK120" i="2" s="1"/>
  <c r="BH120" i="2"/>
  <c r="BG120" i="2"/>
  <c r="BJ119" i="2"/>
  <c r="BI119" i="2"/>
  <c r="BK119" i="2" s="1"/>
  <c r="BH119" i="2"/>
  <c r="BG119" i="2"/>
  <c r="BJ118" i="2"/>
  <c r="BI118" i="2"/>
  <c r="BK118" i="2" s="1"/>
  <c r="BH118" i="2"/>
  <c r="BG118" i="2"/>
  <c r="BJ117" i="2"/>
  <c r="BI117" i="2"/>
  <c r="BK117" i="2" s="1"/>
  <c r="BH117" i="2"/>
  <c r="BG117" i="2"/>
  <c r="BJ116" i="2"/>
  <c r="H204" i="1" s="1"/>
  <c r="BI116" i="2"/>
  <c r="BK116" i="2" s="1"/>
  <c r="BH116" i="2"/>
  <c r="BG116" i="2"/>
  <c r="BJ115" i="2"/>
  <c r="BI115" i="2"/>
  <c r="BK115" i="2" s="1"/>
  <c r="BH115" i="2"/>
  <c r="BG115" i="2"/>
  <c r="BJ114" i="2"/>
  <c r="BI114" i="2"/>
  <c r="BK114" i="2" s="1"/>
  <c r="BH114" i="2"/>
  <c r="BG114" i="2"/>
  <c r="BJ113" i="2"/>
  <c r="BI113" i="2"/>
  <c r="BK113" i="2" s="1"/>
  <c r="BH113" i="2"/>
  <c r="BG113" i="2"/>
  <c r="BJ112" i="2"/>
  <c r="BI112" i="2"/>
  <c r="BK112" i="2" s="1"/>
  <c r="BH112" i="2"/>
  <c r="BG112" i="2"/>
  <c r="BJ111" i="2"/>
  <c r="BI111" i="2"/>
  <c r="BK111" i="2" s="1"/>
  <c r="BH111" i="2"/>
  <c r="BG111" i="2"/>
  <c r="BJ110" i="2"/>
  <c r="BI110" i="2"/>
  <c r="BK110" i="2" s="1"/>
  <c r="BH110" i="2"/>
  <c r="BG110" i="2"/>
  <c r="BJ109" i="2"/>
  <c r="BI109" i="2"/>
  <c r="BK109" i="2" s="1"/>
  <c r="BH109" i="2"/>
  <c r="BG109" i="2"/>
  <c r="BJ108" i="2"/>
  <c r="BI108" i="2"/>
  <c r="BK108" i="2" s="1"/>
  <c r="BH108" i="2"/>
  <c r="BG108" i="2"/>
  <c r="BJ107" i="2"/>
  <c r="BI107" i="2"/>
  <c r="BK107" i="2" s="1"/>
  <c r="BH107" i="2"/>
  <c r="BG107" i="2"/>
  <c r="BJ106" i="2"/>
  <c r="BI106" i="2"/>
  <c r="BK106" i="2" s="1"/>
  <c r="BH106" i="2"/>
  <c r="BG106" i="2"/>
  <c r="BJ105" i="2"/>
  <c r="BI105" i="2"/>
  <c r="BK105" i="2" s="1"/>
  <c r="BH105" i="2"/>
  <c r="BG105" i="2"/>
  <c r="BJ104" i="2"/>
  <c r="BI104" i="2"/>
  <c r="BK104" i="2" s="1"/>
  <c r="BH104" i="2"/>
  <c r="BG104" i="2"/>
  <c r="BJ103" i="2"/>
  <c r="BI103" i="2"/>
  <c r="BK103" i="2" s="1"/>
  <c r="BH103" i="2"/>
  <c r="BG103" i="2"/>
  <c r="BJ102" i="2"/>
  <c r="BI102" i="2"/>
  <c r="BK102" i="2" s="1"/>
  <c r="BH102" i="2"/>
  <c r="BG102" i="2"/>
  <c r="BJ101" i="2"/>
  <c r="BI101" i="2"/>
  <c r="BK101" i="2" s="1"/>
  <c r="BH101" i="2"/>
  <c r="BG101" i="2"/>
  <c r="BJ100" i="2"/>
  <c r="BI100" i="2"/>
  <c r="BK100" i="2" s="1"/>
  <c r="BH100" i="2"/>
  <c r="BG100" i="2"/>
  <c r="BJ99" i="2"/>
  <c r="BI99" i="2"/>
  <c r="BK99" i="2" s="1"/>
  <c r="BH99" i="2"/>
  <c r="BG99" i="2"/>
  <c r="BJ98" i="2"/>
  <c r="BI98" i="2"/>
  <c r="BK98" i="2" s="1"/>
  <c r="BH98" i="2"/>
  <c r="BG98" i="2"/>
  <c r="BJ97" i="2"/>
  <c r="BI97" i="2"/>
  <c r="BK97" i="2" s="1"/>
  <c r="BH97" i="2"/>
  <c r="BG97" i="2"/>
  <c r="BJ96" i="2"/>
  <c r="BI96" i="2"/>
  <c r="BK96" i="2" s="1"/>
  <c r="BH96" i="2"/>
  <c r="BG96" i="2"/>
  <c r="BJ95" i="2"/>
  <c r="BI95" i="2"/>
  <c r="BK95" i="2" s="1"/>
  <c r="BH95" i="2"/>
  <c r="BG95" i="2"/>
  <c r="BJ94" i="2"/>
  <c r="BI94" i="2"/>
  <c r="BK94" i="2" s="1"/>
  <c r="BH94" i="2"/>
  <c r="BG94" i="2"/>
  <c r="BJ93" i="2"/>
  <c r="BI93" i="2"/>
  <c r="BK93" i="2" s="1"/>
  <c r="BH93" i="2"/>
  <c r="BG93" i="2"/>
  <c r="BJ92" i="2"/>
  <c r="BI92" i="2"/>
  <c r="BK92" i="2" s="1"/>
  <c r="BH92" i="2"/>
  <c r="BG92" i="2"/>
  <c r="BJ91" i="2"/>
  <c r="BI91" i="2"/>
  <c r="BK91" i="2" s="1"/>
  <c r="BH91" i="2"/>
  <c r="BG91" i="2"/>
  <c r="BJ90" i="2"/>
  <c r="BI90" i="2"/>
  <c r="BK90" i="2" s="1"/>
  <c r="BH90" i="2"/>
  <c r="BG90" i="2"/>
  <c r="BJ89" i="2"/>
  <c r="BI89" i="2"/>
  <c r="BK89" i="2" s="1"/>
  <c r="BH89" i="2"/>
  <c r="BG89" i="2"/>
  <c r="BJ88" i="2"/>
  <c r="BI88" i="2"/>
  <c r="BK88" i="2" s="1"/>
  <c r="BH88" i="2"/>
  <c r="BG88" i="2"/>
  <c r="BJ87" i="2"/>
  <c r="H175" i="1" s="1"/>
  <c r="BI87" i="2"/>
  <c r="BK87" i="2" s="1"/>
  <c r="I175" i="1" s="1"/>
  <c r="BH87" i="2"/>
  <c r="BG87" i="2"/>
  <c r="BJ86" i="2"/>
  <c r="BI86" i="2"/>
  <c r="BK86" i="2" s="1"/>
  <c r="BH86" i="2"/>
  <c r="BG86" i="2"/>
  <c r="BJ85" i="2"/>
  <c r="BI85" i="2"/>
  <c r="BK85" i="2" s="1"/>
  <c r="BH85" i="2"/>
  <c r="BG85" i="2"/>
  <c r="BJ84" i="2"/>
  <c r="BI84" i="2"/>
  <c r="BK84" i="2" s="1"/>
  <c r="BH84" i="2"/>
  <c r="BG84" i="2"/>
  <c r="BJ83" i="2"/>
  <c r="BI83" i="2"/>
  <c r="BK83" i="2" s="1"/>
  <c r="BH83" i="2"/>
  <c r="BG83" i="2"/>
  <c r="BJ82" i="2"/>
  <c r="H170" i="1" s="1"/>
  <c r="BI82" i="2"/>
  <c r="BK82" i="2" s="1"/>
  <c r="I170" i="1" s="1"/>
  <c r="BH82" i="2"/>
  <c r="BG82" i="2"/>
  <c r="BJ81" i="2"/>
  <c r="BI81" i="2"/>
  <c r="BK81" i="2" s="1"/>
  <c r="I169" i="1" s="1"/>
  <c r="BH81" i="2"/>
  <c r="BG81" i="2"/>
  <c r="BJ80" i="2"/>
  <c r="BI80" i="2"/>
  <c r="BK80" i="2" s="1"/>
  <c r="I168" i="1" s="1"/>
  <c r="BH80" i="2"/>
  <c r="BG80" i="2"/>
  <c r="BJ79" i="2"/>
  <c r="BI79" i="2"/>
  <c r="BK79" i="2" s="1"/>
  <c r="BH79" i="2"/>
  <c r="BG79" i="2"/>
  <c r="BJ78" i="2"/>
  <c r="BI78" i="2"/>
  <c r="BK78" i="2" s="1"/>
  <c r="BH78" i="2"/>
  <c r="BG78" i="2"/>
  <c r="BJ77" i="2"/>
  <c r="BI77" i="2"/>
  <c r="BK77" i="2" s="1"/>
  <c r="BH77" i="2"/>
  <c r="BG77" i="2"/>
  <c r="BJ76" i="2"/>
  <c r="BI76" i="2"/>
  <c r="BK76" i="2" s="1"/>
  <c r="BH76" i="2"/>
  <c r="BG76" i="2"/>
  <c r="BJ75" i="2"/>
  <c r="BI75" i="2"/>
  <c r="BK75" i="2" s="1"/>
  <c r="BH75" i="2"/>
  <c r="BG75" i="2"/>
  <c r="BJ74" i="2"/>
  <c r="H162" i="1" s="1"/>
  <c r="BI74" i="2"/>
  <c r="BK74" i="2" s="1"/>
  <c r="BH74" i="2"/>
  <c r="BG74" i="2"/>
  <c r="BJ73" i="2"/>
  <c r="BI73" i="2"/>
  <c r="BK73" i="2" s="1"/>
  <c r="BH73" i="2"/>
  <c r="BG73" i="2"/>
  <c r="BJ72" i="2"/>
  <c r="BI72" i="2"/>
  <c r="BK72" i="2" s="1"/>
  <c r="BH72" i="2"/>
  <c r="BG72" i="2"/>
  <c r="BJ71" i="2"/>
  <c r="BI71" i="2"/>
  <c r="BK71" i="2" s="1"/>
  <c r="BH71" i="2"/>
  <c r="BG71" i="2"/>
  <c r="E159" i="1" s="1"/>
  <c r="BJ70" i="2"/>
  <c r="BI70" i="2"/>
  <c r="BK70" i="2" s="1"/>
  <c r="BH70" i="2"/>
  <c r="BG70" i="2"/>
  <c r="BJ69" i="2"/>
  <c r="BI69" i="2"/>
  <c r="BK69" i="2" s="1"/>
  <c r="BH69" i="2"/>
  <c r="BG69" i="2"/>
  <c r="BJ68" i="2"/>
  <c r="BI68" i="2"/>
  <c r="BK68" i="2" s="1"/>
  <c r="BH68" i="2"/>
  <c r="BG68" i="2"/>
  <c r="BJ67" i="2"/>
  <c r="H155" i="1" s="1"/>
  <c r="BI67" i="2"/>
  <c r="BK67" i="2" s="1"/>
  <c r="I155" i="1" s="1"/>
  <c r="BH67" i="2"/>
  <c r="BG67" i="2"/>
  <c r="E155" i="1" s="1"/>
  <c r="BJ66" i="2"/>
  <c r="BI66" i="2"/>
  <c r="BK66" i="2" s="1"/>
  <c r="BH66" i="2"/>
  <c r="BG66" i="2"/>
  <c r="BJ65" i="2"/>
  <c r="BI65" i="2"/>
  <c r="BK65" i="2" s="1"/>
  <c r="BH65" i="2"/>
  <c r="BG65" i="2"/>
  <c r="E153" i="1" s="1"/>
  <c r="BJ64" i="2"/>
  <c r="BI64" i="2"/>
  <c r="BK64" i="2" s="1"/>
  <c r="BH64" i="2"/>
  <c r="BG64" i="2"/>
  <c r="BJ63" i="2"/>
  <c r="BI63" i="2"/>
  <c r="BK63" i="2" s="1"/>
  <c r="BH63" i="2"/>
  <c r="BG63" i="2"/>
  <c r="BJ62" i="2"/>
  <c r="BI62" i="2"/>
  <c r="BK62" i="2" s="1"/>
  <c r="BH62" i="2"/>
  <c r="BG62" i="2"/>
  <c r="BJ61" i="2"/>
  <c r="BI61" i="2"/>
  <c r="BK61" i="2" s="1"/>
  <c r="BH61" i="2"/>
  <c r="BG61" i="2"/>
  <c r="BJ60" i="2"/>
  <c r="BI60" i="2"/>
  <c r="BK60" i="2" s="1"/>
  <c r="BH60" i="2"/>
  <c r="BG60" i="2"/>
  <c r="BJ59" i="2"/>
  <c r="H147" i="1" s="1"/>
  <c r="BI59" i="2"/>
  <c r="BK59" i="2" s="1"/>
  <c r="BH59" i="2"/>
  <c r="BG59" i="2"/>
  <c r="BJ58" i="2"/>
  <c r="BI58" i="2"/>
  <c r="BK58" i="2" s="1"/>
  <c r="BH58" i="2"/>
  <c r="BG58" i="2"/>
  <c r="BJ57" i="2"/>
  <c r="BI57" i="2"/>
  <c r="BK57" i="2" s="1"/>
  <c r="BH57" i="2"/>
  <c r="BG57" i="2"/>
  <c r="BJ56" i="2"/>
  <c r="H144" i="1" s="1"/>
  <c r="BI56" i="2"/>
  <c r="BK56" i="2" s="1"/>
  <c r="BH56" i="2"/>
  <c r="BG56" i="2"/>
  <c r="BJ55" i="2"/>
  <c r="BI55" i="2"/>
  <c r="BK55" i="2" s="1"/>
  <c r="BH55" i="2"/>
  <c r="BG55" i="2"/>
  <c r="BJ54" i="2"/>
  <c r="BI54" i="2"/>
  <c r="BK54" i="2" s="1"/>
  <c r="BH54" i="2"/>
  <c r="BG54" i="2"/>
  <c r="BJ53" i="2"/>
  <c r="H141" i="1" s="1"/>
  <c r="BI53" i="2"/>
  <c r="BK53" i="2" s="1"/>
  <c r="BH53" i="2"/>
  <c r="BG53" i="2"/>
  <c r="BJ52" i="2"/>
  <c r="BI52" i="2"/>
  <c r="BK52" i="2" s="1"/>
  <c r="BH52" i="2"/>
  <c r="BG52" i="2"/>
  <c r="BJ51" i="2"/>
  <c r="BI51" i="2"/>
  <c r="BK51" i="2" s="1"/>
  <c r="BH51" i="2"/>
  <c r="BG51" i="2"/>
  <c r="BJ50" i="2"/>
  <c r="H138" i="1" s="1"/>
  <c r="BI50" i="2"/>
  <c r="BK50" i="2" s="1"/>
  <c r="BH50" i="2"/>
  <c r="BG50" i="2"/>
  <c r="BJ49" i="2"/>
  <c r="BI49" i="2"/>
  <c r="BK49" i="2" s="1"/>
  <c r="BH49" i="2"/>
  <c r="BG49" i="2"/>
  <c r="BJ48" i="2"/>
  <c r="BI48" i="2"/>
  <c r="BK48" i="2" s="1"/>
  <c r="BH48" i="2"/>
  <c r="BG48" i="2"/>
  <c r="BJ47" i="2"/>
  <c r="BI47" i="2"/>
  <c r="BK47" i="2" s="1"/>
  <c r="BH47" i="2"/>
  <c r="BG47" i="2"/>
  <c r="BJ46" i="2"/>
  <c r="H134" i="1" s="1"/>
  <c r="BI46" i="2"/>
  <c r="BK46" i="2" s="1"/>
  <c r="I134" i="1" s="1"/>
  <c r="BH46" i="2"/>
  <c r="BG46" i="2"/>
  <c r="E134" i="1" s="1"/>
  <c r="BJ45" i="2"/>
  <c r="H133" i="1" s="1"/>
  <c r="BI45" i="2"/>
  <c r="BK45" i="2" s="1"/>
  <c r="I133" i="1" s="1"/>
  <c r="BH45" i="2"/>
  <c r="BG45" i="2"/>
  <c r="E133" i="1" s="1"/>
  <c r="BJ44" i="2"/>
  <c r="BI44" i="2"/>
  <c r="BK44" i="2" s="1"/>
  <c r="I132" i="1" s="1"/>
  <c r="BH44" i="2"/>
  <c r="BG44" i="2"/>
  <c r="E132" i="1" s="1"/>
  <c r="BJ43" i="2"/>
  <c r="H131" i="1" s="1"/>
  <c r="BI43" i="2"/>
  <c r="BK43" i="2" s="1"/>
  <c r="I131" i="1" s="1"/>
  <c r="BH43" i="2"/>
  <c r="BG43" i="2"/>
  <c r="BJ42" i="2"/>
  <c r="BI42" i="2"/>
  <c r="BK42" i="2" s="1"/>
  <c r="BH42" i="2"/>
  <c r="BG42" i="2"/>
  <c r="BJ41" i="2"/>
  <c r="BI41" i="2"/>
  <c r="BK41" i="2" s="1"/>
  <c r="BH41" i="2"/>
  <c r="BG41" i="2"/>
  <c r="BJ40" i="2"/>
  <c r="BI40" i="2"/>
  <c r="BK40" i="2" s="1"/>
  <c r="BH40" i="2"/>
  <c r="BG40" i="2"/>
  <c r="BJ39" i="2"/>
  <c r="BI39" i="2"/>
  <c r="BK39" i="2" s="1"/>
  <c r="BH39" i="2"/>
  <c r="BG39" i="2"/>
  <c r="BJ38" i="2"/>
  <c r="BI38" i="2"/>
  <c r="BK38" i="2" s="1"/>
  <c r="BH38" i="2"/>
  <c r="BG38" i="2"/>
  <c r="BJ37" i="2"/>
  <c r="BI37" i="2"/>
  <c r="BK37" i="2" s="1"/>
  <c r="BH37" i="2"/>
  <c r="BG37" i="2"/>
  <c r="BJ36" i="2"/>
  <c r="BI36" i="2"/>
  <c r="BK36" i="2" s="1"/>
  <c r="BH36" i="2"/>
  <c r="BG36" i="2"/>
  <c r="BJ35" i="2"/>
  <c r="BI35" i="2"/>
  <c r="BK35" i="2" s="1"/>
  <c r="BH35" i="2"/>
  <c r="BG35" i="2"/>
  <c r="BJ34" i="2"/>
  <c r="BI34" i="2"/>
  <c r="BK34" i="2" s="1"/>
  <c r="BH34" i="2"/>
  <c r="BG34" i="2"/>
  <c r="BJ33" i="2"/>
  <c r="BI33" i="2"/>
  <c r="BK33" i="2" s="1"/>
  <c r="BH33" i="2"/>
  <c r="BG33" i="2"/>
  <c r="BJ32" i="2"/>
  <c r="H120" i="1" s="1"/>
  <c r="BI32" i="2"/>
  <c r="BK32" i="2" s="1"/>
  <c r="BH32" i="2"/>
  <c r="BG32" i="2"/>
  <c r="BJ31" i="2"/>
  <c r="BI31" i="2"/>
  <c r="BK31" i="2" s="1"/>
  <c r="BH31" i="2"/>
  <c r="BG31" i="2"/>
  <c r="BJ30" i="2"/>
  <c r="BI30" i="2"/>
  <c r="BK30" i="2" s="1"/>
  <c r="BH30" i="2"/>
  <c r="BG30" i="2"/>
  <c r="BJ29" i="2"/>
  <c r="BI29" i="2"/>
  <c r="BK29" i="2" s="1"/>
  <c r="BH29" i="2"/>
  <c r="BG29" i="2"/>
  <c r="BJ28" i="2"/>
  <c r="BI28" i="2"/>
  <c r="BK28" i="2" s="1"/>
  <c r="BH28" i="2"/>
  <c r="BG28" i="2"/>
  <c r="BJ27" i="2"/>
  <c r="BI27" i="2"/>
  <c r="BK27" i="2" s="1"/>
  <c r="BH27" i="2"/>
  <c r="BG27" i="2"/>
  <c r="BJ26" i="2"/>
  <c r="H114" i="1" s="1"/>
  <c r="BI26" i="2"/>
  <c r="BK26" i="2" s="1"/>
  <c r="BH26" i="2"/>
  <c r="BG26" i="2"/>
  <c r="BJ25" i="2"/>
  <c r="BI25" i="2"/>
  <c r="BK25" i="2" s="1"/>
  <c r="BH25" i="2"/>
  <c r="BG25" i="2"/>
  <c r="BJ24" i="2"/>
  <c r="H112" i="1" s="1"/>
  <c r="BI24" i="2"/>
  <c r="BK24" i="2" s="1"/>
  <c r="I112" i="1" s="1"/>
  <c r="BH24" i="2"/>
  <c r="BG24" i="2"/>
  <c r="E112" i="1" s="1"/>
  <c r="BJ23" i="2"/>
  <c r="BI23" i="2"/>
  <c r="BK23" i="2" s="1"/>
  <c r="BH23" i="2"/>
  <c r="BG23" i="2"/>
  <c r="BJ22" i="2"/>
  <c r="BI22" i="2"/>
  <c r="BK22" i="2" s="1"/>
  <c r="BH22" i="2"/>
  <c r="BG22" i="2"/>
  <c r="BJ21" i="2"/>
  <c r="BI21" i="2"/>
  <c r="BK21" i="2" s="1"/>
  <c r="BH21" i="2"/>
  <c r="BG21" i="2"/>
  <c r="BJ20" i="2"/>
  <c r="H108" i="1" s="1"/>
  <c r="BI20" i="2"/>
  <c r="BK20" i="2" s="1"/>
  <c r="BH20" i="2"/>
  <c r="BG20" i="2"/>
  <c r="BJ19" i="2"/>
  <c r="BI19" i="2"/>
  <c r="BK19" i="2" s="1"/>
  <c r="BH19" i="2"/>
  <c r="BG19" i="2"/>
  <c r="BJ18" i="2"/>
  <c r="BI18" i="2"/>
  <c r="BK18" i="2" s="1"/>
  <c r="BH18" i="2"/>
  <c r="BG18" i="2"/>
  <c r="BJ17" i="2"/>
  <c r="BI17" i="2"/>
  <c r="BK17" i="2" s="1"/>
  <c r="BH17" i="2"/>
  <c r="BG17" i="2"/>
  <c r="BJ16" i="2"/>
  <c r="H104" i="1" s="1"/>
  <c r="BI16" i="2"/>
  <c r="BK16" i="2" s="1"/>
  <c r="I104" i="1" s="1"/>
  <c r="BH16" i="2"/>
  <c r="BG16" i="2"/>
  <c r="BJ15" i="2"/>
  <c r="BI15" i="2"/>
  <c r="BK15" i="2" s="1"/>
  <c r="BH15" i="2"/>
  <c r="BG15" i="2"/>
  <c r="BJ14" i="2"/>
  <c r="BI14" i="2"/>
  <c r="BK14" i="2" s="1"/>
  <c r="BH14" i="2"/>
  <c r="BG14" i="2"/>
  <c r="BJ13" i="2"/>
  <c r="BI13" i="2"/>
  <c r="BK13" i="2" s="1"/>
  <c r="BH13" i="2"/>
  <c r="BG13" i="2"/>
  <c r="BJ12" i="2"/>
  <c r="H100" i="1" s="1"/>
  <c r="BI12" i="2"/>
  <c r="BK12" i="2" s="1"/>
  <c r="BH12" i="2"/>
  <c r="BG12" i="2"/>
  <c r="BJ11" i="2"/>
  <c r="BI11" i="2"/>
  <c r="BK11" i="2" s="1"/>
  <c r="BH11" i="2"/>
  <c r="BG11" i="2"/>
  <c r="BJ10" i="2"/>
  <c r="BI10" i="2"/>
  <c r="BK10" i="2" s="1"/>
  <c r="BH10" i="2"/>
  <c r="BG10" i="2"/>
  <c r="BJ9" i="2"/>
  <c r="BI9" i="2"/>
  <c r="BK9" i="2" s="1"/>
  <c r="BH9" i="2"/>
  <c r="BG9" i="2"/>
  <c r="BJ8" i="2"/>
  <c r="BI8" i="2"/>
  <c r="BK8" i="2" s="1"/>
  <c r="BH8" i="2"/>
  <c r="BG8" i="2"/>
  <c r="BJ7" i="2"/>
  <c r="BI7" i="2"/>
  <c r="BK7" i="2" s="1"/>
  <c r="BH7" i="2"/>
  <c r="BG7" i="2"/>
  <c r="BJ6" i="2"/>
  <c r="BI6" i="2"/>
  <c r="BK6" i="2" s="1"/>
  <c r="BH6" i="2"/>
  <c r="BG6" i="2"/>
  <c r="BJ5" i="2"/>
  <c r="BI5" i="2"/>
  <c r="BK5" i="2" s="1"/>
  <c r="BH5" i="2"/>
  <c r="BG5" i="2"/>
  <c r="BJ4" i="2"/>
  <c r="BI4" i="2"/>
  <c r="BH4" i="2"/>
  <c r="BG4" i="2"/>
  <c r="E99" i="1" l="1"/>
  <c r="E101" i="1"/>
  <c r="E167" i="1"/>
  <c r="E267" i="1"/>
  <c r="I167" i="1"/>
  <c r="H99" i="1"/>
  <c r="H101" i="1"/>
  <c r="H105" i="1"/>
  <c r="H167" i="1"/>
  <c r="H171" i="1"/>
  <c r="H177" i="1"/>
  <c r="H195" i="1"/>
  <c r="H207" i="1"/>
  <c r="H213" i="1"/>
  <c r="H225" i="1"/>
  <c r="H249" i="1"/>
  <c r="H263" i="1"/>
  <c r="E100" i="1"/>
  <c r="E174" i="1"/>
  <c r="E258" i="1"/>
  <c r="H210" i="1"/>
  <c r="I101" i="1"/>
  <c r="H156" i="1"/>
  <c r="I114" i="1"/>
  <c r="H265" i="1"/>
  <c r="E170" i="1"/>
  <c r="E114" i="1"/>
  <c r="E168" i="1"/>
  <c r="E261" i="1"/>
  <c r="H266" i="1"/>
  <c r="H264" i="1"/>
  <c r="E175" i="1"/>
  <c r="E169" i="1"/>
  <c r="H174" i="1"/>
  <c r="E104" i="1"/>
  <c r="E131" i="1"/>
  <c r="E265" i="1"/>
  <c r="H268" i="1"/>
  <c r="E262" i="1"/>
  <c r="H267" i="1"/>
  <c r="I267" i="1"/>
  <c r="E136" i="1"/>
  <c r="E139" i="1"/>
  <c r="E142" i="1"/>
  <c r="E145" i="1"/>
  <c r="E154" i="1"/>
  <c r="E244" i="1"/>
  <c r="E247" i="1"/>
  <c r="E250" i="1"/>
  <c r="E256" i="1"/>
  <c r="H259" i="1"/>
  <c r="E254" i="1"/>
  <c r="E269" i="1"/>
  <c r="E264" i="1"/>
  <c r="I105" i="1"/>
  <c r="I108" i="1"/>
  <c r="I120" i="1"/>
  <c r="I138" i="1"/>
  <c r="I141" i="1"/>
  <c r="I144" i="1"/>
  <c r="I147" i="1"/>
  <c r="I156" i="1"/>
  <c r="I162" i="1"/>
  <c r="I171" i="1"/>
  <c r="I177" i="1"/>
  <c r="I195" i="1"/>
  <c r="I204" i="1"/>
  <c r="I207" i="1"/>
  <c r="I210" i="1"/>
  <c r="I213" i="1"/>
  <c r="I222" i="1"/>
  <c r="I225" i="1"/>
  <c r="I240" i="1"/>
  <c r="I246" i="1"/>
  <c r="I249" i="1"/>
  <c r="I252" i="1"/>
  <c r="I273" i="1"/>
  <c r="H132" i="1"/>
  <c r="I153" i="1"/>
  <c r="I159" i="1"/>
  <c r="I99" i="1"/>
  <c r="H159" i="1"/>
  <c r="E268" i="1"/>
  <c r="E242" i="1"/>
  <c r="H261" i="1"/>
  <c r="I260" i="1"/>
  <c r="I263" i="1"/>
  <c r="H260" i="1"/>
  <c r="I261" i="1"/>
  <c r="E260" i="1"/>
  <c r="E259" i="1"/>
  <c r="H153" i="1"/>
  <c r="I266" i="1"/>
  <c r="I258" i="1"/>
  <c r="H262" i="1"/>
  <c r="H273" i="1"/>
  <c r="H168" i="1"/>
  <c r="I100" i="1"/>
  <c r="I96" i="1"/>
  <c r="I117" i="1"/>
  <c r="I129" i="1"/>
  <c r="I189" i="1"/>
  <c r="I219" i="1"/>
  <c r="I231" i="1"/>
  <c r="I102" i="1"/>
  <c r="I111" i="1"/>
  <c r="I150" i="1"/>
  <c r="I192" i="1"/>
  <c r="I216" i="1"/>
  <c r="I93" i="1"/>
  <c r="I135" i="1"/>
  <c r="I186" i="1"/>
  <c r="I228" i="1"/>
  <c r="I237" i="1"/>
  <c r="I243" i="1"/>
  <c r="I255" i="1"/>
  <c r="I270" i="1"/>
  <c r="I262" i="1"/>
  <c r="E266" i="1"/>
  <c r="I259" i="1"/>
  <c r="I268" i="1"/>
  <c r="H93" i="1"/>
  <c r="H96" i="1"/>
  <c r="H102" i="1"/>
  <c r="H111" i="1"/>
  <c r="H117" i="1"/>
  <c r="H129" i="1"/>
  <c r="H135" i="1"/>
  <c r="H150" i="1"/>
  <c r="H186" i="1"/>
  <c r="H189" i="1"/>
  <c r="H192" i="1"/>
  <c r="H216" i="1"/>
  <c r="H219" i="1"/>
  <c r="H228" i="1"/>
  <c r="H231" i="1"/>
  <c r="H237" i="1"/>
  <c r="H243" i="1"/>
  <c r="H255" i="1"/>
  <c r="H270" i="1"/>
  <c r="E103" i="1"/>
  <c r="E109" i="1"/>
  <c r="E148" i="1"/>
  <c r="E263" i="1"/>
  <c r="I148" i="1"/>
  <c r="I184" i="1"/>
  <c r="I214" i="1"/>
  <c r="I238" i="1"/>
  <c r="I97" i="1"/>
  <c r="I109" i="1"/>
  <c r="I130" i="1"/>
  <c r="I151" i="1"/>
  <c r="I190" i="1"/>
  <c r="I217" i="1"/>
  <c r="I229" i="1"/>
  <c r="H94" i="1"/>
  <c r="H97" i="1"/>
  <c r="H103" i="1"/>
  <c r="H109" i="1"/>
  <c r="H130" i="1"/>
  <c r="H148" i="1"/>
  <c r="H151" i="1"/>
  <c r="H172" i="1"/>
  <c r="H184" i="1"/>
  <c r="H190" i="1"/>
  <c r="H214" i="1"/>
  <c r="H217" i="1"/>
  <c r="H229" i="1"/>
  <c r="H232" i="1"/>
  <c r="H238" i="1"/>
  <c r="H253" i="1"/>
  <c r="H271" i="1"/>
  <c r="I264" i="1"/>
  <c r="H258" i="1"/>
  <c r="I94" i="1"/>
  <c r="I103" i="1"/>
  <c r="I172" i="1"/>
  <c r="I232" i="1"/>
  <c r="I253" i="1"/>
  <c r="I265" i="1"/>
  <c r="I271" i="1"/>
  <c r="E107" i="1"/>
  <c r="E119" i="1"/>
  <c r="E137" i="1"/>
  <c r="E140" i="1"/>
  <c r="E143" i="1"/>
  <c r="E146" i="1"/>
  <c r="I174" i="1"/>
  <c r="E194" i="1"/>
  <c r="E197" i="1"/>
  <c r="E203" i="1"/>
  <c r="E206" i="1"/>
  <c r="E209" i="1"/>
  <c r="E212" i="1"/>
  <c r="E221" i="1"/>
  <c r="E224" i="1"/>
  <c r="E239" i="1"/>
  <c r="E245" i="1"/>
  <c r="E248" i="1"/>
  <c r="E251" i="1"/>
  <c r="E257" i="1"/>
  <c r="I142" i="1"/>
  <c r="E158" i="1"/>
  <c r="H169" i="1"/>
  <c r="E152" i="1"/>
  <c r="I145" i="1"/>
  <c r="E125" i="1"/>
  <c r="I165" i="1"/>
  <c r="E122" i="1"/>
  <c r="E93" i="1"/>
  <c r="E96" i="1"/>
  <c r="E102" i="1"/>
  <c r="E105" i="1"/>
  <c r="E108" i="1"/>
  <c r="E111" i="1"/>
  <c r="E117" i="1"/>
  <c r="E120" i="1"/>
  <c r="E129" i="1"/>
  <c r="E135" i="1"/>
  <c r="E138" i="1"/>
  <c r="E141" i="1"/>
  <c r="E144" i="1"/>
  <c r="E147" i="1"/>
  <c r="E150" i="1"/>
  <c r="E156" i="1"/>
  <c r="E162" i="1"/>
  <c r="E171" i="1"/>
  <c r="E177" i="1"/>
  <c r="E186" i="1"/>
  <c r="E189" i="1"/>
  <c r="E192" i="1"/>
  <c r="E195" i="1"/>
  <c r="E204" i="1"/>
  <c r="E207" i="1"/>
  <c r="E210" i="1"/>
  <c r="E213" i="1"/>
  <c r="E216" i="1"/>
  <c r="E219" i="1"/>
  <c r="H126" i="1"/>
  <c r="H165" i="1"/>
  <c r="H180" i="1"/>
  <c r="H201" i="1"/>
  <c r="H234" i="1"/>
  <c r="H123" i="1"/>
  <c r="H183" i="1"/>
  <c r="H198" i="1"/>
  <c r="E94" i="1"/>
  <c r="E106" i="1"/>
  <c r="E115" i="1"/>
  <c r="E118" i="1"/>
  <c r="E121" i="1"/>
  <c r="E124" i="1"/>
  <c r="E127" i="1"/>
  <c r="E130" i="1"/>
  <c r="E151" i="1"/>
  <c r="E157" i="1"/>
  <c r="E160" i="1"/>
  <c r="E163" i="1"/>
  <c r="E166" i="1"/>
  <c r="E172" i="1"/>
  <c r="E178" i="1"/>
  <c r="E181" i="1"/>
  <c r="E184" i="1"/>
  <c r="E187" i="1"/>
  <c r="E190" i="1"/>
  <c r="E193" i="1"/>
  <c r="E196" i="1"/>
  <c r="E199" i="1"/>
  <c r="E202" i="1"/>
  <c r="E205" i="1"/>
  <c r="E208" i="1"/>
  <c r="E211" i="1"/>
  <c r="E214" i="1"/>
  <c r="E217" i="1"/>
  <c r="E220" i="1"/>
  <c r="E223" i="1"/>
  <c r="E226" i="1"/>
  <c r="E229" i="1"/>
  <c r="E232" i="1"/>
  <c r="E235" i="1"/>
  <c r="E238" i="1"/>
  <c r="E241" i="1"/>
  <c r="E253" i="1"/>
  <c r="E271" i="1"/>
  <c r="E274" i="1"/>
  <c r="I121" i="1"/>
  <c r="I127" i="1"/>
  <c r="I157" i="1"/>
  <c r="I196" i="1"/>
  <c r="I208" i="1"/>
  <c r="I220" i="1"/>
  <c r="I244" i="1"/>
  <c r="I256" i="1"/>
  <c r="H139" i="1"/>
  <c r="H157" i="1"/>
  <c r="H199" i="1"/>
  <c r="H205" i="1"/>
  <c r="H211" i="1"/>
  <c r="H223" i="1"/>
  <c r="H274" i="1"/>
  <c r="E98" i="1"/>
  <c r="E116" i="1"/>
  <c r="E128" i="1"/>
  <c r="E149" i="1"/>
  <c r="E161" i="1"/>
  <c r="E164" i="1"/>
  <c r="E173" i="1"/>
  <c r="E176" i="1"/>
  <c r="E179" i="1"/>
  <c r="E182" i="1"/>
  <c r="E185" i="1"/>
  <c r="E188" i="1"/>
  <c r="E191" i="1"/>
  <c r="E200" i="1"/>
  <c r="E215" i="1"/>
  <c r="E218" i="1"/>
  <c r="E227" i="1"/>
  <c r="E230" i="1"/>
  <c r="E233" i="1"/>
  <c r="E236" i="1"/>
  <c r="E272" i="1"/>
  <c r="E275" i="1"/>
  <c r="I126" i="1"/>
  <c r="I106" i="1"/>
  <c r="I118" i="1"/>
  <c r="I124" i="1"/>
  <c r="I139" i="1"/>
  <c r="H136" i="1"/>
  <c r="H160" i="1"/>
  <c r="H181" i="1"/>
  <c r="H196" i="1"/>
  <c r="H226" i="1"/>
  <c r="H241" i="1"/>
  <c r="H250" i="1"/>
  <c r="E95" i="1"/>
  <c r="E113" i="1"/>
  <c r="I183" i="1"/>
  <c r="I154" i="1"/>
  <c r="I166" i="1"/>
  <c r="I178" i="1"/>
  <c r="I202" i="1"/>
  <c r="I226" i="1"/>
  <c r="I235" i="1"/>
  <c r="I247" i="1"/>
  <c r="I274" i="1"/>
  <c r="I95" i="1"/>
  <c r="I98" i="1"/>
  <c r="I113" i="1"/>
  <c r="I119" i="1"/>
  <c r="I122" i="1"/>
  <c r="I128" i="1"/>
  <c r="I140" i="1"/>
  <c r="I146" i="1"/>
  <c r="I152" i="1"/>
  <c r="I161" i="1"/>
  <c r="I164" i="1"/>
  <c r="I173" i="1"/>
  <c r="I179" i="1"/>
  <c r="I182" i="1"/>
  <c r="I185" i="1"/>
  <c r="I188" i="1"/>
  <c r="I191" i="1"/>
  <c r="I194" i="1"/>
  <c r="I197" i="1"/>
  <c r="I200" i="1"/>
  <c r="I203" i="1"/>
  <c r="I206" i="1"/>
  <c r="I209" i="1"/>
  <c r="I212" i="1"/>
  <c r="I215" i="1"/>
  <c r="I218" i="1"/>
  <c r="I221" i="1"/>
  <c r="I224" i="1"/>
  <c r="I227" i="1"/>
  <c r="I230" i="1"/>
  <c r="I233" i="1"/>
  <c r="I236" i="1"/>
  <c r="I239" i="1"/>
  <c r="I242" i="1"/>
  <c r="I245" i="1"/>
  <c r="I248" i="1"/>
  <c r="I251" i="1"/>
  <c r="I254" i="1"/>
  <c r="I257" i="1"/>
  <c r="I269" i="1"/>
  <c r="I272" i="1"/>
  <c r="I275" i="1"/>
  <c r="I160" i="1"/>
  <c r="I181" i="1"/>
  <c r="I193" i="1"/>
  <c r="I205" i="1"/>
  <c r="I250" i="1"/>
  <c r="H106" i="1"/>
  <c r="H115" i="1"/>
  <c r="H121" i="1"/>
  <c r="H124" i="1"/>
  <c r="H145" i="1"/>
  <c r="H154" i="1"/>
  <c r="H163" i="1"/>
  <c r="H178" i="1"/>
  <c r="H187" i="1"/>
  <c r="H193" i="1"/>
  <c r="H202" i="1"/>
  <c r="H208" i="1"/>
  <c r="H220" i="1"/>
  <c r="H235" i="1"/>
  <c r="H244" i="1"/>
  <c r="H247" i="1"/>
  <c r="H256" i="1"/>
  <c r="E110" i="1"/>
  <c r="I107" i="1"/>
  <c r="I110" i="1"/>
  <c r="I116" i="1"/>
  <c r="I125" i="1"/>
  <c r="I137" i="1"/>
  <c r="I143" i="1"/>
  <c r="I149" i="1"/>
  <c r="I158" i="1"/>
  <c r="H92" i="1"/>
  <c r="H95" i="1"/>
  <c r="H98" i="1"/>
  <c r="H107" i="1"/>
  <c r="H110" i="1"/>
  <c r="H113" i="1"/>
  <c r="H116" i="1"/>
  <c r="H119" i="1"/>
  <c r="H122" i="1"/>
  <c r="H125" i="1"/>
  <c r="H128" i="1"/>
  <c r="H137" i="1"/>
  <c r="H140" i="1"/>
  <c r="H143" i="1"/>
  <c r="H146" i="1"/>
  <c r="H149" i="1"/>
  <c r="H152" i="1"/>
  <c r="H158" i="1"/>
  <c r="H161" i="1"/>
  <c r="H164" i="1"/>
  <c r="H173" i="1"/>
  <c r="H176" i="1"/>
  <c r="H179" i="1"/>
  <c r="H182" i="1"/>
  <c r="H185" i="1"/>
  <c r="H188" i="1"/>
  <c r="H191" i="1"/>
  <c r="H194" i="1"/>
  <c r="H197" i="1"/>
  <c r="H200" i="1"/>
  <c r="H203" i="1"/>
  <c r="H206" i="1"/>
  <c r="H209" i="1"/>
  <c r="H212" i="1"/>
  <c r="H215" i="1"/>
  <c r="H218" i="1"/>
  <c r="H221" i="1"/>
  <c r="H224" i="1"/>
  <c r="H227" i="1"/>
  <c r="H230" i="1"/>
  <c r="H233" i="1"/>
  <c r="H236" i="1"/>
  <c r="H239" i="1"/>
  <c r="H242" i="1"/>
  <c r="H245" i="1"/>
  <c r="H248" i="1"/>
  <c r="H251" i="1"/>
  <c r="H254" i="1"/>
  <c r="H257" i="1"/>
  <c r="H269" i="1"/>
  <c r="H272" i="1"/>
  <c r="H275" i="1"/>
  <c r="I123" i="1"/>
  <c r="I136" i="1"/>
  <c r="E222" i="1"/>
  <c r="E225" i="1"/>
  <c r="E228" i="1"/>
  <c r="E231" i="1"/>
  <c r="E234" i="1"/>
  <c r="E237" i="1"/>
  <c r="E240" i="1"/>
  <c r="E243" i="1"/>
  <c r="E246" i="1"/>
  <c r="E249" i="1"/>
  <c r="E252" i="1"/>
  <c r="E255" i="1"/>
  <c r="E270" i="1"/>
  <c r="E273" i="1"/>
  <c r="I115" i="1"/>
  <c r="I163" i="1"/>
  <c r="I187" i="1"/>
  <c r="I199" i="1"/>
  <c r="I211" i="1"/>
  <c r="I223" i="1"/>
  <c r="I241" i="1"/>
  <c r="H118" i="1"/>
  <c r="H127" i="1"/>
  <c r="H142" i="1"/>
  <c r="H166" i="1"/>
  <c r="E123" i="1"/>
  <c r="E126" i="1"/>
  <c r="E165" i="1"/>
  <c r="E180" i="1"/>
  <c r="E183" i="1"/>
  <c r="E198" i="1"/>
  <c r="E201" i="1"/>
  <c r="I180" i="1"/>
  <c r="I198" i="1"/>
  <c r="I201" i="1"/>
  <c r="I234" i="1"/>
  <c r="D56" i="1"/>
  <c r="D55" i="1"/>
  <c r="C10" i="1"/>
  <c r="C11" i="1"/>
  <c r="C12" i="1"/>
  <c r="B67" i="1"/>
  <c r="B50" i="1"/>
  <c r="B27" i="1"/>
  <c r="C27" i="1" s="1"/>
  <c r="C13" i="1"/>
  <c r="C14" i="1"/>
  <c r="C15" i="1"/>
  <c r="C62" i="1"/>
  <c r="E97" i="1"/>
  <c r="B19" i="1"/>
  <c r="C19" i="1" s="1"/>
  <c r="D73" i="1"/>
  <c r="E92" i="1"/>
  <c r="D78" i="1"/>
  <c r="B62" i="1"/>
  <c r="B20" i="1"/>
  <c r="C20" i="1" s="1"/>
  <c r="D61" i="1"/>
  <c r="C50" i="1"/>
  <c r="C61" i="1"/>
  <c r="C72" i="1"/>
  <c r="D62" i="1"/>
  <c r="D72" i="1"/>
  <c r="B73" i="1"/>
  <c r="F79" i="1"/>
  <c r="B72" i="1"/>
  <c r="C78" i="1"/>
  <c r="B78" i="1"/>
  <c r="C67" i="1"/>
  <c r="C73" i="1"/>
  <c r="BK4" i="2"/>
  <c r="I176" i="1" s="1"/>
  <c r="B25" i="1"/>
  <c r="C25" i="1" s="1"/>
  <c r="D50" i="1"/>
  <c r="D67" i="1"/>
  <c r="E78" i="1"/>
  <c r="B24" i="1"/>
  <c r="C24" i="1" s="1"/>
  <c r="F78" i="1"/>
  <c r="B26" i="1"/>
  <c r="C26" i="1" s="1"/>
  <c r="B79" i="1"/>
  <c r="B61" i="1"/>
  <c r="D79" i="1"/>
  <c r="D57" i="1" l="1"/>
  <c r="B88" i="1"/>
  <c r="C88" i="1" s="1"/>
  <c r="B87" i="1"/>
  <c r="C87" i="1" s="1"/>
  <c r="B86" i="1"/>
  <c r="C86" i="1" s="1"/>
  <c r="I92" i="1"/>
  <c r="B85" i="1"/>
  <c r="C85" i="1" s="1"/>
</calcChain>
</file>

<file path=xl/sharedStrings.xml><?xml version="1.0" encoding="utf-8"?>
<sst xmlns="http://schemas.openxmlformats.org/spreadsheetml/2006/main" count="4997" uniqueCount="611">
  <si>
    <t>DMT Stormwater Resilience - Exec Summary</t>
  </si>
  <si>
    <t>Region</t>
  </si>
  <si>
    <t>Al Ain</t>
  </si>
  <si>
    <t xml:space="preserve">Configurable deadline </t>
  </si>
  <si>
    <t>Deadline_Date &gt;&gt;</t>
  </si>
  <si>
    <t>SLIDE 1  -  Region Overview</t>
  </si>
  <si>
    <t>Overview &amp; Criticality</t>
  </si>
  <si>
    <t>Metric</t>
  </si>
  <si>
    <t>Count</t>
  </si>
  <si>
    <t>% of total</t>
  </si>
  <si>
    <t>Total stormwater hotspots</t>
  </si>
  <si>
    <t>Very high</t>
  </si>
  <si>
    <t>High</t>
  </si>
  <si>
    <t>Medium</t>
  </si>
  <si>
    <t>Low</t>
  </si>
  <si>
    <t>Highly critical (Very High + High)</t>
  </si>
  <si>
    <t>Critical (Medium + Low)</t>
  </si>
  <si>
    <t>Coverage (who owns the hotspot area)</t>
  </si>
  <si>
    <t>Coverage</t>
  </si>
  <si>
    <t>Covered by Municipality (developer blank/No)</t>
  </si>
  <si>
    <t>Covered by Private Entities / Developers</t>
  </si>
  <si>
    <t>Root cause</t>
  </si>
  <si>
    <t>Topography &amp; Road Engineering</t>
  </si>
  <si>
    <t>Inadequate Design Capacity</t>
  </si>
  <si>
    <t>Absence of Drainage Network</t>
  </si>
  <si>
    <t>Unmapped / CHECK</t>
  </si>
  <si>
    <t>Other Metrics</t>
  </si>
  <si>
    <t>On existing stormwater network (Yes)</t>
  </si>
  <si>
    <t>Not on network (No)</t>
  </si>
  <si>
    <t>Duplicate Hotspot IDs (should be 0)</t>
  </si>
  <si>
    <t>ADM/IDD pond-scope overlaps flagged</t>
  </si>
  <si>
    <t>SLIDE 2  -  Municipality Emergency Response Plan</t>
  </si>
  <si>
    <t>Highly Critical</t>
  </si>
  <si>
    <t>Critical</t>
  </si>
  <si>
    <t>Total</t>
  </si>
  <si>
    <t>Hotspots covered</t>
  </si>
  <si>
    <t>Manpower (headcount)</t>
  </si>
  <si>
    <t>Pumps (qty)</t>
  </si>
  <si>
    <t>Tankers (qty)</t>
  </si>
  <si>
    <t>Additional pumps (qty)</t>
  </si>
  <si>
    <t>Additional tankers (qty)</t>
  </si>
  <si>
    <t>Manpower budget (AED)</t>
  </si>
  <si>
    <t>Pumps budget (AED)</t>
  </si>
  <si>
    <t>Tankers budget (AED)</t>
  </si>
  <si>
    <t>Additional pumps (AED)</t>
  </si>
  <si>
    <t>For palaces</t>
  </si>
  <si>
    <t>Additional tankers (AED)</t>
  </si>
  <si>
    <t>Total emergency budget (AED)</t>
  </si>
  <si>
    <t>Total Emergency Response Budget (AED)</t>
  </si>
  <si>
    <t>Emergency budget - private-development subset</t>
  </si>
  <si>
    <t>Hotspots (private dev)</t>
  </si>
  <si>
    <t>Emergency budget - private dev (AED)</t>
  </si>
  <si>
    <t>SLIDE 3  -  IDD Intervention (CAPEX) Plan</t>
  </si>
  <si>
    <t>IDD-covered hotspots &amp; CAPEX (IDD owner + at least one IDD field populated)</t>
  </si>
  <si>
    <t>IDD-covered hotspots</t>
  </si>
  <si>
    <t>IDD CAPEX budget (AED)</t>
  </si>
  <si>
    <t>IDD CAPEX - private-development subset</t>
  </si>
  <si>
    <t>IDD hotspots (private dev)</t>
  </si>
  <si>
    <t>IDD CAPEX - private dev (AED)</t>
  </si>
  <si>
    <t>SLIDE 4  -  Budget for the Region (reference matrix)</t>
  </si>
  <si>
    <t>IDD Intervention (CAPEX)</t>
  </si>
  <si>
    <t>Municipality Emergency Response Plan</t>
  </si>
  <si>
    <t>Grand Total</t>
  </si>
  <si>
    <t>Abu Dhabi</t>
  </si>
  <si>
    <t>TIMELINE  -  Resolution vs Deadline_Date</t>
  </si>
  <si>
    <t>Hotspot counts by timeline status</t>
  </si>
  <si>
    <t>Timeline status</t>
  </si>
  <si>
    <t>Resolved before Feb 2027</t>
  </si>
  <si>
    <t>Resolved after Feb 2027</t>
  </si>
  <si>
    <t>No specific plan</t>
  </si>
  <si>
    <t>CLIENT INPUT REQUIRED</t>
  </si>
  <si>
    <t xml:space="preserve">Filter-ready detail list </t>
  </si>
  <si>
    <t>Hotspot ID</t>
  </si>
  <si>
    <t>Area</t>
  </si>
  <si>
    <t>Location</t>
  </si>
  <si>
    <t>Criticality</t>
  </si>
  <si>
    <t>Private Dev?</t>
  </si>
  <si>
    <t>IDD Intervention</t>
  </si>
  <si>
    <t>Project Stage</t>
  </si>
  <si>
    <t>IDD Completion Date</t>
  </si>
  <si>
    <t>Timeline Status</t>
  </si>
  <si>
    <t>IDD Intervention Plan</t>
  </si>
  <si>
    <t>Select Yes or No</t>
  </si>
  <si>
    <t>Select one: Critical Infrastructure, Detailed Design, Fast-Track, or Quick Win</t>
  </si>
  <si>
    <t>Provide the primary solution such as inlet, pipe, Upgrade to Catchment , Pond / Spillway, etc</t>
  </si>
  <si>
    <t>Select one: Permanent, Interim, or Temporary</t>
  </si>
  <si>
    <t>Please specify if additional budget is required for this hotspot (Yes/No)</t>
  </si>
  <si>
    <t>Provide the requested budget for each applicable hotspot. If a single project spans multiple hotspots, list the budget only once under the primary hotspot. For all other covered hotspot entries, replace the budget with: "Included in Hotspot #X budget."</t>
  </si>
  <si>
    <t>Provide the current rainfall design event, including the return period</t>
  </si>
  <si>
    <t>Provide the existing network’s technical or hydraulic capacit</t>
  </si>
  <si>
    <t>Provide the future or target rainfall design event, including the return period</t>
  </si>
  <si>
    <t>Provide the future or target network capacity after the planned intervention</t>
  </si>
  <si>
    <t>Provide the estimated floodwater volume managed by network after intervention</t>
  </si>
  <si>
    <t>Provide the expected number of hours required for floodwater to recede after intervention</t>
  </si>
  <si>
    <t>Revise the planned mobilization date</t>
  </si>
  <si>
    <t>Revise the planned completion date</t>
  </si>
  <si>
    <t>Select one: Contractor Design phase, Parsons Verification Phase, IDAS Review Phase, Municipality Permitting Phase, Implementation phase, Hand Over Phase</t>
  </si>
  <si>
    <t>Select Yes or No. Enter Yes only after formal approval has been issued.</t>
  </si>
  <si>
    <t>Provide the actual mobilization date (only after actual mobilization)</t>
  </si>
  <si>
    <t>Provide the actual completion date (only after actual completion)</t>
  </si>
  <si>
    <t>Select one: Not Started, On Track, Delayed, or Completed</t>
  </si>
  <si>
    <t>Provide the full name of the accountable IDD owner.</t>
  </si>
  <si>
    <t>Hotspot_ID</t>
  </si>
  <si>
    <t>Hotspot_Area</t>
  </si>
  <si>
    <t>Hotspot_Location</t>
  </si>
  <si>
    <t>Latitude</t>
  </si>
  <si>
    <t>Longitude</t>
  </si>
  <si>
    <t>Developer_Private_Area</t>
  </si>
  <si>
    <t>Developer Name</t>
  </si>
  <si>
    <t>Network_Available</t>
  </si>
  <si>
    <t>Root_Cause</t>
  </si>
  <si>
    <t>Root_Cause_Details</t>
  </si>
  <si>
    <t>Manpower_Qty</t>
  </si>
  <si>
    <t>Manpower Active-duty AED</t>
  </si>
  <si>
    <t>Manpower Standby AED</t>
  </si>
  <si>
    <t>Total Manpower_Budget_AED</t>
  </si>
  <si>
    <t>Pumps_Qty</t>
  </si>
  <si>
    <t>Diesel Pump 12 inch Qty</t>
  </si>
  <si>
    <t>Diesel Pump 8 inch Qty</t>
  </si>
  <si>
    <t>Diesel Pump 6 inch Qty</t>
  </si>
  <si>
    <t>Diesel Pump 12 inch AED/Day</t>
  </si>
  <si>
    <t>Diesel Pump 8 inch AED/Day</t>
  </si>
  <si>
    <t>Diesel Pump 6 inch AED/Day</t>
  </si>
  <si>
    <t>Total Pump Daily Rate</t>
  </si>
  <si>
    <t>Total Pump Active Duty AED2</t>
  </si>
  <si>
    <t>Total Pump Standby AED</t>
  </si>
  <si>
    <t>Pumps_Budget_AED</t>
  </si>
  <si>
    <t>Tankers_Qty</t>
  </si>
  <si>
    <t>Tankers_Budget_AED</t>
  </si>
  <si>
    <t>Concrete_Barrier_AED</t>
  </si>
  <si>
    <t>Sand_Barrier_AED</t>
  </si>
  <si>
    <t>Detention_Ponds_AED</t>
  </si>
  <si>
    <t>Collection_Chamber_AED</t>
  </si>
  <si>
    <t>Manpower_Qty2</t>
  </si>
  <si>
    <t>Manpower_Budget_AED3</t>
  </si>
  <si>
    <t>Pumps_Qty4</t>
  </si>
  <si>
    <t>Pumps_Budget_AED5</t>
  </si>
  <si>
    <t>Tankers_Qty6</t>
  </si>
  <si>
    <t>Tankers_Budget_AED7</t>
  </si>
  <si>
    <t>IDD Interventoin Planned</t>
  </si>
  <si>
    <t>IDD_Design_Category</t>
  </si>
  <si>
    <t>Design Solution</t>
  </si>
  <si>
    <t>Type of Intervention</t>
  </si>
  <si>
    <t>Additional Budget Requirment</t>
  </si>
  <si>
    <t>Additional Budget Requested</t>
  </si>
  <si>
    <t>Hotspot Network Rain Design Event (Current)</t>
  </si>
  <si>
    <t>Hotspot Network Design Technical Capacity (Current)</t>
  </si>
  <si>
    <t>Hotspot Network Rain Design Event (Future)</t>
  </si>
  <si>
    <t>Hotspot Network Design Technical Capacity (Future)</t>
  </si>
  <si>
    <t xml:space="preserve">Flood Volume Capacity after Intervention </t>
  </si>
  <si>
    <t>Associated recovery time after intervention</t>
  </si>
  <si>
    <t>Planned_IDD_Mobilization_Date</t>
  </si>
  <si>
    <t>Planned_IDD_Completion_Date</t>
  </si>
  <si>
    <t>Approval from IDAS secured (Yes/No)</t>
  </si>
  <si>
    <t>Actual_Mobilization_Date</t>
  </si>
  <si>
    <t>Actual_Completion_Date</t>
  </si>
  <si>
    <t>Intervention status</t>
  </si>
  <si>
    <t>IDD_Owner_Name</t>
  </si>
  <si>
    <t>Is_Private_Developer</t>
  </si>
  <si>
    <t>Root_Cause_Category</t>
  </si>
  <si>
    <t>IDD_Covered</t>
  </si>
  <si>
    <t>IDD_Completion_Date2</t>
  </si>
  <si>
    <t>IDD_Timeline_Status</t>
  </si>
  <si>
    <t>Al Aamerah &amp; Al Sad  &amp; Al Salamat</t>
  </si>
  <si>
    <t>Al Rifaa, Al Aamerah</t>
  </si>
  <si>
    <t>Very High</t>
  </si>
  <si>
    <t>Applicable with (AACM)</t>
  </si>
  <si>
    <t>No</t>
  </si>
  <si>
    <t>the accumulated water will be removed by a tanker and discharged at the nearest pond or another disposal location</t>
  </si>
  <si>
    <t>34 Ramlat Al Khadar St, Al Aamerah - Al Samar</t>
  </si>
  <si>
    <t>Yes</t>
  </si>
  <si>
    <t>Existing or nearby drainage arrangements at 34 Ramlat Al Khadar St, Al Aamerah - Al Samar require pumping support during storm events, indicating insufficient conveyance/storage capacity for peak runoff.</t>
  </si>
  <si>
    <t>Al Samar, Al Aamerah</t>
  </si>
  <si>
    <t>Existing or nearby drainage arrangements at Al Samar, Al Aamerah require pumping support during storm events, indicating insufficient conveyance/storage capacity for peak runoff.</t>
  </si>
  <si>
    <t>Wadi Al Fayah St, Al Sad - Ramlat Al Saad</t>
  </si>
  <si>
    <t>Existing or nearby drainage arrangements at Wadi Al Fayah St, Al Sad - Ramlat Al Saad require pumping support during storm events, indicating insufficient conveyance/storage capacity for peak runoff.</t>
  </si>
  <si>
    <t>28 An Nasr St, Al Salamat - Al Salamat 1</t>
  </si>
  <si>
    <t>Existing or nearby drainage arrangements at 28 An Nasr St, Al Salamat - Al Salamat 1 require pumping support during storm events, indicating insufficient conveyance/storage capacity for peak runoff.</t>
  </si>
  <si>
    <t>Al Arad</t>
  </si>
  <si>
    <t>Sayh Al ʹArad St, Al 'Arad - Al Arad 1</t>
  </si>
  <si>
    <t>No effective stormwater connection is evident from the listed intervention at Sayh Al ʹArad St, Al 'Arad - Al Arad 1; response is based on tanker dewatering until a drainage network/permanent solution is available.</t>
  </si>
  <si>
    <t>Al Bateen</t>
  </si>
  <si>
    <t>Ghafat Al Shwaihi, Al Bateen</t>
  </si>
  <si>
    <t>Existing or nearby drainage arrangements at Ghafat Al Shwaihi, Al Bateen require pumping support during storm events, indicating insufficient conveyance/storage capacity for peak runoff.</t>
  </si>
  <si>
    <t>Yaw Sablah St, Al Bateen - Ghafat Al Shwaihi</t>
  </si>
  <si>
    <t>Existing or nearby drainage arrangements at Yaw Sablah St, Al Bateen - Ghafat Al Shwaihi require pumping support during storm events, indicating insufficient conveyance/storage capacity for peak runoff.</t>
  </si>
  <si>
    <t>Ghiyout Al Hidayri St, Al Bateen - Ghafat Al Shwaihi</t>
  </si>
  <si>
    <t>Existing or nearby drainage arrangements at Ghiyout Al Hidayri St, Al Bateen - Ghafat Al Shwaihi require pumping support during storm events, indicating insufficient conveyance/storage capacity for peak runoff.</t>
  </si>
  <si>
    <t>Al Dhahir &amp; Mezyad &amp; Um Ghafah</t>
  </si>
  <si>
    <t>Zayed Bin Sultan St, Al Dhahir - Dhaher 1</t>
  </si>
  <si>
    <t>the accumulated water will be removed by a tanker and discharged at the nearest Wadi</t>
  </si>
  <si>
    <t>Al Barari Mall R/A, Dhaher 3, Al Dhahir</t>
  </si>
  <si>
    <t>Existing or nearby drainage arrangements at Al Barari Mall R/A, Dhaher 3, Al Dhahir require pumping support during storm events, indicating insufficient conveyance/storage capacity for peak runoff.</t>
  </si>
  <si>
    <t xml:space="preserve">Al Dhahir &amp; Mezyad &amp; Um Ghafah </t>
  </si>
  <si>
    <t>Al Ain City Municipality – Customer Service Center, Mezyad</t>
  </si>
  <si>
    <t>Zayed Bin Sultan St, Mazyad - Mazyad 2</t>
  </si>
  <si>
    <t>Existing or nearby drainage arrangements at Zayed Bin Sultan St, Mazyad - Mazyad 2 require pumping support during storm events, indicating insufficient conveyance/storage capacity for peak runoff.</t>
  </si>
  <si>
    <t>Al Muraikhat, Um Ghafah</t>
  </si>
  <si>
    <t>Existing or nearby drainage arrangements at Al Muraikhat, Um Ghafah require pumping support during storm events, indicating insufficient conveyance/storage capacity for peak runoff.</t>
  </si>
  <si>
    <t>Al Faqaa</t>
  </si>
  <si>
    <t>Al Ain - Dubai Rd, Al Faqaa</t>
  </si>
  <si>
    <t>Dulaymah 1, Al Fagaa</t>
  </si>
  <si>
    <t>Al Rawdah Al Sharqiyah - Al Ifaz &amp; Al Ghireebah</t>
  </si>
  <si>
    <t>19-7 Al Sofouh St, Al Rawdah Al Sharqiyah - Al Ifaz</t>
  </si>
  <si>
    <t>Existing or nearby drainage arrangements at 19-7 Al Sofouh St, Al Rawdah Al Sharqiyah - Al Ifaz require pumping support during storm events, indicating insufficient conveyance/storage capacity for peak runoff.</t>
  </si>
  <si>
    <t>Al Ifaz, Al Rawdah Al Sharqiyah</t>
  </si>
  <si>
    <t>No effective stormwater connection is evident from the listed intervention at Al Ifaz, Al Rawdah Al Sharqiyah; response is based on tanker dewatering until a drainage network/permanent solution is available. Discharge point is nearest Wadi</t>
  </si>
  <si>
    <t>Al Fou'ah</t>
  </si>
  <si>
    <t>Al Ain - Dubai Rd, Al Nabbagh – Sibeitah Tahnoun Bin Mohammed Al Nhayan Rd.</t>
  </si>
  <si>
    <t>Existing or nearby drainage arrangements at Al Ain - Dubai Rd, Al Nabbagh – Sibeitah Tahnoun Bin Mohammed Al Nhayan Rd. require pumping support during storm events, indicating insufficient conveyance/storage capacity for peak runoff.</t>
  </si>
  <si>
    <t>Al Fou'ah - Al Sajaa</t>
  </si>
  <si>
    <t>Abu 'Ubaidah Bin Al Jarrah St. Al Sajaa, Al Fou'ah</t>
  </si>
  <si>
    <t>Existing or nearby drainage arrangements at Abu 'Ubaidah Bin Al Jarrah St. Al Sajaa, Al Fou'ah require pumping support during storm events, indicating insufficient conveyance/storage capacity for peak runoff.</t>
  </si>
  <si>
    <t>Al Fouʹah St, Al Fou'ah - Al Raqiyah</t>
  </si>
  <si>
    <t>Existing or nearby drainage arrangements at Al Fouʹah St, Al Fou'ah - Al Raqiyah require pumping support during storm events, indicating insufficient conveyance/storage capacity for peak runoff. Discharge point is nearest Wadi</t>
  </si>
  <si>
    <t>Al Hiyar</t>
  </si>
  <si>
    <t>Wadi Maad, Al Hiyar</t>
  </si>
  <si>
    <t>Existing or nearby drainage arrangements at Wadi Maad, Al Hiyar require pumping support during storm events, indicating insufficient conveyance/storage capacity for peak runoff. Discharge point is nearest Wadi</t>
  </si>
  <si>
    <t>Ramlat Al Hayer, Al Hiyar</t>
  </si>
  <si>
    <t>the accumulated water will be removed by a tanker and discharged at the nearest wadi</t>
  </si>
  <si>
    <t>E20, Al Hiyar - Al Hayer 6</t>
  </si>
  <si>
    <t>Um Al Dakhan, Al Hiyar</t>
  </si>
  <si>
    <t>Al Shansoobah, Al Hiyar</t>
  </si>
  <si>
    <t>Existing or nearby drainage arrangements at Al Shansoobah, Al Hiyar require pumping support during storm events, indicating insufficient conveyance/storage capacity for peak runoff.</t>
  </si>
  <si>
    <t>36 Wadi At Tabnah St, Al Hiyar - Ramlat Al Hayer</t>
  </si>
  <si>
    <t>Shaʹbiyat Al Hiyar St, Al Hiyar - Al Jabib - East</t>
  </si>
  <si>
    <t>Sweihan Rd, Al Hiyar - Al Ghashbah</t>
  </si>
  <si>
    <t>Al Jimi</t>
  </si>
  <si>
    <t>35 Al Jamal St, Al Jimi - Al Mraijeb</t>
  </si>
  <si>
    <t>Existing or nearby drainage arrangements at 35 Al Jamal St, Al Jimi - Al Mraijeb require pumping support during storm events, indicating insufficient conveyance/storage capacity for peak runoff.</t>
  </si>
  <si>
    <t>4-8 Al Tajer St. Al Jimi - Slemi</t>
  </si>
  <si>
    <t>Existing or nearby drainage arrangements at 4-8 Al Tajer St. Al Jimi - Slemi require pumping support during storm events, indicating insufficient conveyance/storage capacity for peak runoff. Discharge point is nearest Wadi</t>
  </si>
  <si>
    <t>5-1 Al Snono, Al Jimi - Slemi</t>
  </si>
  <si>
    <t>Existing or nearby drainage arrangements at 5-1 Al Snono, Al Jimi - Slemi require pumping support during storm events, indicating insufficient conveyance/storage capacity for peak runoff. Discharge point is nearest Wadi</t>
  </si>
  <si>
    <t>47-7 Al Bahaa St, Al Jimi - Al Mraijeb</t>
  </si>
  <si>
    <t>Not Applicable / Not identified</t>
  </si>
  <si>
    <t>Existing or nearby drainage arrangements at 47-7 Al Bahaa St, Al Jimi - Al Mraijeb require pumping support during storm events, indicating insufficient conveyance/storage capacity for peak runoff.</t>
  </si>
  <si>
    <t>Hazza Bin Sultan Staduim Tunnel, Zayed The First St</t>
  </si>
  <si>
    <t>Existing or nearby drainage arrangements at Hazza Bin Sultan Staduim Tunnel, Zayed The First St require pumping support during storm events, indicating insufficient conveyance/storage capacity for peak runoff. Discharge point is nearest Wadi</t>
  </si>
  <si>
    <t>Mohammed Bin Khalifa St, Al Jimi</t>
  </si>
  <si>
    <t>Existing or nearby drainage arrangements at Mohammed Bin Khalifa St, Al Jimi require pumping support during storm events, indicating insufficient conveyance/storage capacity for peak runoff.</t>
  </si>
  <si>
    <t>Al Muwaijʹi St, Al Jimi - Civic Center</t>
  </si>
  <si>
    <t>Existing Gullies only not connected to the network at Al Muwaijʹi St, Al Jimi - Civic Center require pumping support during storm events, indicating insufficient conveyance/storage capacity for peak runoff.</t>
  </si>
  <si>
    <t>Civic Center, Al Jimi</t>
  </si>
  <si>
    <t>Existing or nearby drainage arrangements at Civic Center, Al Jimi require pumping support during storm events, indicating insufficient conveyance/storage capacity for peak runoff. Discharge point is nearest Wadi</t>
  </si>
  <si>
    <t>Ugdat Al Ameriya, Al Jimi</t>
  </si>
  <si>
    <t>Existing or nearby drainage arrangements at Ugdat Al Ameriya, Al Jimi require pumping support during storm events, indicating insufficient conveyance/storage capacity for peak runoff. Discharge point is nearest Wadi</t>
  </si>
  <si>
    <t>Al Khibeesi</t>
  </si>
  <si>
    <t xml:space="preserve">28-56 AI Lammah St, Al Khibeesi - Al Naseriyya </t>
  </si>
  <si>
    <t>Existing or nearby drainage arrangements at 28-56 AI Lammah St, Al Khibeesi - Al Naseriyya  require pumping support during storm events, indicating insufficient conveyance/storage capacity for peak runoff. Discharge point is nearest Wadi</t>
  </si>
  <si>
    <t xml:space="preserve">Al Khibeesi </t>
  </si>
  <si>
    <t>Al Zaafaran, Al Khibeesi</t>
  </si>
  <si>
    <t>Existing or nearby drainage arrangements at Al Zaafaran, Al Khibeesi require pumping support during storm events, indicating insufficient conveyance/storage capacity for peak runoff. Discharge point is nearest Wadi</t>
  </si>
  <si>
    <t>Al Khibeesi (Emergency plan with Al Dar)</t>
  </si>
  <si>
    <t>Al Meryal, Al Khibeesi Area</t>
  </si>
  <si>
    <t>Existing or nearby drainage arrangements at Al Meryal, Al Khibeesi Area require pumping support during storm events, indicating insufficient conveyance/storage capacity for peak runoff.</t>
  </si>
  <si>
    <t>Al Maqam &amp; Asharej (to be rais to injazz)</t>
  </si>
  <si>
    <t>Shabiyat Al Maqam, Al Maqam</t>
  </si>
  <si>
    <t xml:space="preserve">Existing Gullies not connected to the network or nearby drainage arrangements at Shabiyat Al Maqam, Al Maqam require pumping support during storm events,  Discharge point is nearest Wadi </t>
  </si>
  <si>
    <t>Al Maqam &amp; Asharej</t>
  </si>
  <si>
    <t>Al Maqam - Shabiyat Al Maqam</t>
  </si>
  <si>
    <t>Existing or nearby drainage arrangements at Al Maqam - Shabiyat Al Maqam require pumping support during storm events, indicating insufficient conveyance/storage capacity for peak runoff. Discharge point is nearest Wadi</t>
  </si>
  <si>
    <t>Al Urjuwan St, Al Maqam - Shabiyat Al Maqam</t>
  </si>
  <si>
    <t>Existing or nearby drainage arrangements at Al Urjuwan St, Al Maqam - Shabiyat Al Maqam require pumping support during storm events, indicating insufficient conveyance/storage capacity for peak runoff.</t>
  </si>
  <si>
    <t>Al Maqam &amp; Asharej (to be check or to removed)</t>
  </si>
  <si>
    <t>Al Yasat St. Shabiyat Al Maqam, Al Maqam</t>
  </si>
  <si>
    <t>Existing or nearby drainage arrangements at Al Yasat St. Shabiyat Al Maqam, Al Maqam require pumping support during storm events, indicating insufficient conveyance/storage capacity for peak runoff. Discharge point is nearest Wadi</t>
  </si>
  <si>
    <t>151-149 Al Jawharah St, 'Asharij - Al Dafeinah</t>
  </si>
  <si>
    <t>Existing or nearby drainage arrangements at 151-149 Al Jawharah St, 'Asharij - Al Dafeinah require pumping support during storm events, indicating insufficient conveyance/storage capacity for peak runoff. Discharge point is nearest Wadi</t>
  </si>
  <si>
    <t xml:space="preserve">Al Maqam &amp; Asharej </t>
  </si>
  <si>
    <t>Tawam Tunnel, Shabhanat Asharej, Al Muwaij'i</t>
  </si>
  <si>
    <t>Existing or nearby drainage arrangements at Tawam Tunnel, Shabhanat Asharej, Al Muwaij'i require pumping support during storm events, indicating insufficient conveyance/storage capacity for peak runoff.</t>
  </si>
  <si>
    <t>Al Maqam &amp; Asharej (to be added the tankers)</t>
  </si>
  <si>
    <t>Asharej Tunnel, Khalifa Bin Zayed St,</t>
  </si>
  <si>
    <t>Existing or nearby drainage arrangements at Asharej Tunnel, Khalifa Bin Zayed St, require pumping support during storm events, indicating insufficient conveyance/storage capacity for peak runoff.</t>
  </si>
  <si>
    <t>Al Maqam &amp; Asharej (confirmed to be add 1 no of Pump)</t>
  </si>
  <si>
    <t>Bida Bin Ammar, Al Muwaij'i Area</t>
  </si>
  <si>
    <t>55.651456°</t>
  </si>
  <si>
    <t>Existing or nearby drainage arrangements at Bida Bin Ammar, Al Muwaij'i Area require pumping support during storm events, indicating insufficient conveyance/storage capacity for peak runoff.</t>
  </si>
  <si>
    <t>Maitha Bint Mohammed St
'Asharij - Shiebat Al Oud - Abu</t>
  </si>
  <si>
    <t>Existing or nearby drainage arrangements at Maitha Bint Mohammed St
'Asharij - Shiebat Al Oud - Abu require pumping support during storm events, indicating insufficient conveyance/storage capacity for peak runoff.</t>
  </si>
  <si>
    <t>Al Mu'tarid</t>
  </si>
  <si>
    <t>75-45 AI Siray St, Al Mu'tarid - Hai Al Wadi</t>
  </si>
  <si>
    <t>Existing or nearby drainage arrangements at 75-45 AI Siray St, Al Mu'tarid - Hai Al Wadi require pumping support during storm events, indicating insufficient conveyance/storage capacity for peak runoff.</t>
  </si>
  <si>
    <t>Al Baladiyah St, Al Mu'tarid - Al Gellah</t>
  </si>
  <si>
    <t>Existing or nearby drainage arrangements at Al Baladiyah St, Al Mu'tarid - Al Gellah require pumping support during storm events, indicating insufficient conveyance/storage capacity for peak runoff.</t>
  </si>
  <si>
    <t>Al Jabal R/A Khalifa Bin Zayed St, Al Mu'tarid</t>
  </si>
  <si>
    <t>Existing or nearby drainage arrangements at Al Jabal R/A Khalifa Bin Zayed St, Al Mu'tarid require pumping support during storm events, indicating insufficient conveyance/storage capacity for peak runoff.</t>
  </si>
  <si>
    <t>Mohammed Bin Khalifa St, Al Mu'tarid - Ramlat Aawad Shaheen</t>
  </si>
  <si>
    <t>Existing or nearby drainage arrangements at Mohammed Bin Khalifa St, Al Mu'tarid - Ramlat Aawad Shaheen require pumping support during storm events, indicating insufficient conveyance/storage capacity for peak runoff.</t>
  </si>
  <si>
    <t>Al Mu'tarid (to be removed)</t>
  </si>
  <si>
    <t>Shakhboot Bin Sultan St, Al Mu'tarid</t>
  </si>
  <si>
    <t>Existing or nearby drainage arrangements at Shakhboot Bin Sultan St, Al Mu'tarid require pumping support during storm events, indicating insufficient conveyance/storage capacity for peak runoff.</t>
  </si>
  <si>
    <t>Al Mu'tarid (to be added the tanker)</t>
  </si>
  <si>
    <t>Al Radi St, Al Mu'tarid - Hai Al Jabal</t>
  </si>
  <si>
    <t>Existing or nearby drainage arrangements at Al Radi St, Al Mu'tarid - Hai Al Jabal require pumping support during storm events, indicating insufficient conveyance/storage capacity for peak runoff.</t>
  </si>
  <si>
    <t>Teebi St, Al Mu'tarid Area</t>
  </si>
  <si>
    <t>Existing or nearby drainage arrangements at Teebi St, Al Mu'tarid Area require pumping support during storm events, indicating insufficient conveyance/storage capacity for peak runoff.</t>
  </si>
  <si>
    <t>Al Husoun St, Al Mu'tarid - Ugdat Al Muwaiji</t>
  </si>
  <si>
    <t>Existing or nearby drainage arrangements at Al Husoun St, Al Mu'tarid - Ugdat Al Muwaiji require pumping support during storm events, indicating insufficient conveyance/storage capacity for peak runoff.</t>
  </si>
  <si>
    <t>Khalifa Bin Zayed The First St, Al Mu'tarid - Al Jizza</t>
  </si>
  <si>
    <t>Existing or nearby drainage arrangements at Khalifa Bin Zayed The First St, Al Mu'tarid - Al Jizza require pumping support during storm events, indicating insufficient conveyance/storage capacity for peak runoff.</t>
  </si>
  <si>
    <t>Al Jahili</t>
  </si>
  <si>
    <t>Al Marayegh, Al Jahili Area</t>
  </si>
  <si>
    <t>Existing or nearby drainage arrangements at Al Marayegh, Al Jahili Area; require pumping support during storm events.</t>
  </si>
  <si>
    <t>Al Muwaiji</t>
  </si>
  <si>
    <t>Saeed Bin Shakhbout The First St, Al Muwaij'i - Majlood</t>
  </si>
  <si>
    <t>Existing or nearby drainage arrangements at Saeed Bin Shakhbout The First St, Al Muwaij'i - Majlood require pumping support during storm events, indicating insufficient conveyance/storage capacity for peak runoff.</t>
  </si>
  <si>
    <t>Saeed Bin Shakhbout The First St, Al Muwaij'i - Al Ruwaikah</t>
  </si>
  <si>
    <t>Existing or nearby drainage arrangements at Saeed Bin Shakhbout The First St, Al Muwaij'i - Al Ruwaikah require pumping support during storm events, indicating insufficient conveyance/storage capacity for peak runoff.</t>
  </si>
  <si>
    <t>Maitha Bint Mohammed St, Al Muwaij'i - Deer Park</t>
  </si>
  <si>
    <t>Existing or nearby drainage arrangements at Maitha Bint Mohammed St, Al Muwaij'i - Deer Park require pumping support during storm events, indicating insufficient conveyance/storage capacity for peak runoff.</t>
  </si>
  <si>
    <t>Al Nabbagh</t>
  </si>
  <si>
    <t>Sibeitah, Al Nabbagh 66!</t>
  </si>
  <si>
    <t>No effective stormwater connection is evident from the listed intervention at Sibeitah, Al Nabbagh 66!; response is based on tanker dewatering until a drainage network/permanent solution is available.</t>
  </si>
  <si>
    <t>Lane 821, Al Nabbagh - Sibeitah</t>
  </si>
  <si>
    <t>No effective stormwater connection is evident from the listed intervention at Lane 821, Al Nabbagh - Sibeitah; response is based on tanker dewatering until a drainage network/permanent solution is available.</t>
  </si>
  <si>
    <t>Al Qattarah</t>
  </si>
  <si>
    <t>96-124 Al Dameed St, Al Qattarah - Al Mragha</t>
  </si>
  <si>
    <t>Existing or nearby drainage arrangements at 96-124 Al Dameed St, Al Qattarah - Al Mragha require pumping support during storm events, indicating insufficient conveyance/storage capacity for peak runoff.</t>
  </si>
  <si>
    <t xml:space="preserve"> 24.260988°</t>
  </si>
  <si>
    <t>55.755669°</t>
  </si>
  <si>
    <t xml:space="preserve"> 24.261376°</t>
  </si>
  <si>
    <t>55.754789°</t>
  </si>
  <si>
    <t>Bani Yas St, Al Qattarah - Al Mergab</t>
  </si>
  <si>
    <t>Existing or nearby drainage arrangements at Bani Yas St, Al Qattarah - Al Mergab require pumping support during storm events, indicating insufficient conveyance/storage capacity for peak runoff.</t>
  </si>
  <si>
    <t>alfurusia roundabout (Equestrianism)- Al Qattarah - Al Mergab</t>
  </si>
  <si>
    <t>Existing or nearby drainage arrangements at alfurusia roundabout (Equestrianism)- Al Qattarah - Al Mergab require pumping support during storm events, indicating insufficient conveyance/storage capacity for peak runoff.</t>
  </si>
  <si>
    <t>Al Sarouj &amp; Al Noud</t>
  </si>
  <si>
    <t>Al Qanadeel St, Al Sarouj - Al Harmoozi</t>
  </si>
  <si>
    <t>No effective stormwater connection is evident from the listed interventionat Al Qanadeel St, Al Sarouj - Al Harmoozi require pumping support during storm events, indicating insufficient conveyance/storage capacity for peak runoff.</t>
  </si>
  <si>
    <t xml:space="preserve">Al Harmoozi, Al Sarouj </t>
  </si>
  <si>
    <t>Existing or nearby drainage arrangements at Al Harmoozi, Al Sarouj  require pumping support during storm events, indicating insufficient conveyance/storage capacity for peak runoff.</t>
  </si>
  <si>
    <t>Hai Al Wadi, Al Sarouj</t>
  </si>
  <si>
    <t>Local overland flow/road grading conditions at Hai Al Wadi, Al Sarouj require temporary bunding/barriers and operational dewatering until a permanent drainage/conveyance solution is implemented.</t>
  </si>
  <si>
    <t>Al Mashall, Al Sarouj</t>
  </si>
  <si>
    <t>Local overland flow/road grading conditions at Al Mashall, Al Sarouj require temporary bunding/barriers and operational dewatering until a permanent drainage/conveyance solution is implemented.</t>
  </si>
  <si>
    <t>Al Harmoozi, Al Sarouj</t>
  </si>
  <si>
    <t>Local overland flow/road grading conditions at Al Harmoozi, Al Sarouj require temporary bunding/barriers and operational dewatering until a permanent drainage/conveyance solution is implemented.</t>
  </si>
  <si>
    <t>29-23 Al Qutami St, Al Sarouj - Hai Al Wadi</t>
  </si>
  <si>
    <t>Local overland flow/road grading conditions at 29-23 Al Qutami St, Al Sarouj - Hai Al Wadi require temporary bunding/barriers and operational dewatering until a permanent drainage/conveyance solution is implemented.</t>
  </si>
  <si>
    <t>Zayed Bin Sultan St Hai Al Wadi, Al Sarouj</t>
  </si>
  <si>
    <t>Local overland flow/road grading conditions at Zayed Bin Sultan St Hai Al Wadi, Al Sarouj require temporary bunding/barriers and operational dewatering until a permanent drainage/conveyance solution is implemented.</t>
  </si>
  <si>
    <t>Truck R/A Wadi Al Ain 3, Al Noud</t>
  </si>
  <si>
    <t>Local overland flow/road grading conditions at Truck R/A Wadi Al Ain 3, Al Noud require temporary bunding/barriers and operational dewatering until a permanent drainage/conveyance solution is implemented.</t>
  </si>
  <si>
    <t>ADNOC Station, Wadi Al Ain 2, Al Noud</t>
  </si>
  <si>
    <t>Local overland flow/road grading conditions at ADNOC Station, Wadi Al Ain 2, Al Noud require temporary bunding/barriers and operational dewatering until a permanent drainage/conveyance solution is implemented.</t>
  </si>
  <si>
    <t>Al Shiwayb</t>
  </si>
  <si>
    <t>AL SHWAIB FAMILY PARK</t>
  </si>
  <si>
    <t>Existing or nearby drainage arrangements at AL SHWAIB FAMILY PARK require pumping support during storm events, indicating insufficient conveyance/storage capacity for peak runoff.</t>
  </si>
  <si>
    <t>Ramlat Al Shuwaib, Al Shiwayb</t>
  </si>
  <si>
    <t>Existing or nearby drainage arrangements at Ramlat Al Shuwaib, Al Shiwayb require pumping support during storm events, indicating insufficient conveyance/storage capacity for peak runoff.</t>
  </si>
  <si>
    <t>Al Shiwayb Rd, Al Shiwayb</t>
  </si>
  <si>
    <t>Existing or nearby drainage arrangements at Al Shiwayb Rd, Al Shiwayb require pumping support during storm events, indicating insufficient conveyance/storage capacity for peak runoff.</t>
  </si>
  <si>
    <t>Shibak 2, Al Shiwayb Rd.</t>
  </si>
  <si>
    <t>Existing or nearby drainage arrangements at Shibak 2, Al Shiwayb Rd. require pumping support during storm events, indicating insufficient conveyance/storage capacity for peak runoff.</t>
  </si>
  <si>
    <t>Al Tiwayya</t>
  </si>
  <si>
    <t>6-8 Al Mu'attar St, Al Markhaniyyah - Muaifaa</t>
  </si>
  <si>
    <t xml:space="preserve"> 24.250512°</t>
  </si>
  <si>
    <t xml:space="preserve"> 55.687096°</t>
  </si>
  <si>
    <t>applicable with (AACM)</t>
  </si>
  <si>
    <t>Existing or nearby drainage arrangements at 6-8 Al Mu'attar St, Al Markhaniyyah - Muaifaa require pumping support during storm events, indicating insufficient conveyance/storage capacity for peak runoff.</t>
  </si>
  <si>
    <t xml:space="preserve">Al Tiwayya </t>
  </si>
  <si>
    <t>Jafeer Obaid, Al Tiwayya</t>
  </si>
  <si>
    <t>Existing or nearby drainage arrangements at Jafeer Obaid, Al Tiwayya require pumping support during storm events, indicating insufficient conveyance/storage capacity for peak runoff.</t>
  </si>
  <si>
    <t>Ras Ash Sheikh St, Al Tiwayya - Eidan Al Ridda</t>
  </si>
  <si>
    <t>Existing or nearby drainage arrangements at Ras Ash Sheikh St, Al Tiwayya - Eidan Al Ridda require pumping support during storm events, indicating insufficient conveyance/storage capacity for peak runoff.</t>
  </si>
  <si>
    <t>Eidan Al Jareh, Al Tiwayya Area</t>
  </si>
  <si>
    <t>Existing or nearby drainage arrangements at Eidan Al Jareh, Al Tiwayya Area require pumping support during storm events, indicating insufficient conveyance/storage capacity for peak runoff.</t>
  </si>
  <si>
    <t>Al Wiqan</t>
  </si>
  <si>
    <t>Um Az Zumoul Rd, Al Wiqan - Saq Al Awir</t>
  </si>
  <si>
    <t>Existing or nearby drainage arrangements at Um Az Zumoul Rd, Al Wiqan - Saq Al Awir require pumping support during storm events, indicating insufficient conveyance/storage capacity for peak runoff.</t>
  </si>
  <si>
    <t>26th St, Al Wiqan - Al Sayh</t>
  </si>
  <si>
    <t>Existing or nearby drainage arrangements at 26th St, Al Wiqan - Al Sayh require pumping support during storm events, indicating insufficient conveyance/storage capacity for peak runoff.</t>
  </si>
  <si>
    <t>Al Muhallab St, Al Wiqan - Ramlat Addimah</t>
  </si>
  <si>
    <t>Existing or nearby drainage arrangements at Al Muhallab St, Al Wiqan - Ramlat Addimah require pumping support during storm events, indicating insufficient conveyance/storage capacity for peak runoff.</t>
  </si>
  <si>
    <t>Al Quo'a</t>
  </si>
  <si>
    <t>40th St, Al Qou' - Al Quo'a Town</t>
  </si>
  <si>
    <t>No effective stormwater connection is evident from the listed intervention at 40th St, Al Qou' - Al Quo'a Town; response is based on tanker dewatering until a drainage network/permanent solution is available.</t>
  </si>
  <si>
    <t>Central District</t>
  </si>
  <si>
    <t>25 Al Mandhour St, Central District - Hai Al Murabbaa</t>
  </si>
  <si>
    <t>No effective stormwater connection is evident from the listed at 25 Al Mandhour St, Central District - Hai Al Murabbaa require pumping support during storm events, indicating insufficient conveyance/storage capacity for peak runoff.</t>
  </si>
  <si>
    <t>AI Mut-haf St, Central District - Hai Al Hisn</t>
  </si>
  <si>
    <t>Existing or nearby drainage arrangements at AI Mut-haf St, Central District - Hai Al Hisn require pumping support during storm events, indicating insufficient conveyance/storage capacity for peak runoff.</t>
  </si>
  <si>
    <t>Al Ain Oasis, Central District</t>
  </si>
  <si>
    <t>Existing or nearby drainage arrangements at Al Ain Oasis, Central District require pumping support during storm events, indicating insufficient conveyance/storage capacity for peak runoff.</t>
  </si>
  <si>
    <t>33-9 Al Hdaybah St, Central District - Al Talaa</t>
  </si>
  <si>
    <t>Existing or nearby drainage arrangements at 33-9 Al Hdaybah St, Central District - Al Talaa require pumping support during storm events, indicating insufficient conveyance/storage capacity for peak runoff.</t>
  </si>
  <si>
    <t>Al Wisal St, Central District - Al Nyadat</t>
  </si>
  <si>
    <t>Existing or nearby drainage arrangements at Al Wisal St, Central District - Al Nyadat require pumping support during storm events, indicating insufficient conveyance/storage capacity for peak runoff.</t>
  </si>
  <si>
    <t>73-67 Al Masarrah St, Central District - Al Kuwaitat</t>
  </si>
  <si>
    <t>Existing or nearby drainage arrangements at 73-67 Al Masarrah St, Central District - Al Kuwaitat require pumping support during storm events, indicating insufficient conveyance/storage capacity for peak runoff.</t>
  </si>
  <si>
    <t>Al Ain Civil Defense</t>
  </si>
  <si>
    <t>No Network Existing or nearby drainage arrangements at Al Ain Civil Defense require pumping support during storm events, indicating insufficient conveyance/storage capacity for peak runoff.</t>
  </si>
  <si>
    <t>25 Al Sufouq St, Central District</t>
  </si>
  <si>
    <t xml:space="preserve"> 24.230711°</t>
  </si>
  <si>
    <t>55.751657°</t>
  </si>
  <si>
    <t>Existing or nearby drainage arrangements at 25 Al Sufouq St, Central District require pumping support during storm events, indicating insufficient conveyance/storage capacity for peak runoff.</t>
  </si>
  <si>
    <t xml:space="preserve"> 24.213898°</t>
  </si>
  <si>
    <t>55.787167°</t>
  </si>
  <si>
    <t>Hai Al Qasr, Central District</t>
  </si>
  <si>
    <t>Existing or nearby drainage arrangements at Hai Al Qasr, Central District require pumping support during storm events, indicating insufficient conveyance/storage capacity for peak runoff.</t>
  </si>
  <si>
    <t>12-16 Seasons St, Central District - Nad Al Rusas</t>
  </si>
  <si>
    <t>Existing or nearby drainage arrangements at 12-16 Seasons St, Central District - Nad Al Rusas require pumping support during storm events, indicating insufficient conveyance/storage capacity for peak runoff.</t>
  </si>
  <si>
    <t>Malayim St, Central District - Nad Al Gorban</t>
  </si>
  <si>
    <t>Existing or nearby drainage arrangements at Malayim St, Central District - Nad Al Gorban require pumping support during storm events, indicating insufficient conveyance/storage capacity for peak runoff.</t>
  </si>
  <si>
    <t>Al Sufouq St, Central District - Shiebat Bin Anbar</t>
  </si>
  <si>
    <t>Existing or nearby drainage arrangements at Al Sufouq St, Central District - Shiebat Bin Anbar require pumping support during storm events, indicating insufficient conveyance/storage capacity for peak runoff.</t>
  </si>
  <si>
    <t>97-87 Al Anhar St
Central District - Nad Al Gorban - Abu</t>
  </si>
  <si>
    <t>No Network Existing or nearby drainage arrangements at 97-87 Al Anhar St
Central District - Nad Al Gorban - Abu require pumping support during storm events, indicating insufficient conveyance/storage capacity for peak runoff.</t>
  </si>
  <si>
    <t>Falaj Hazza</t>
  </si>
  <si>
    <t>Falaj Hazza' - Jefeer Jedeed</t>
  </si>
  <si>
    <t xml:space="preserve"> 24.184456°</t>
  </si>
  <si>
    <t>55.711336°</t>
  </si>
  <si>
    <t>Existing or nearby drainage arrangements at Falaj Hazza' - Jefeer Jedeed require pumping support during storm events, indicating insufficient conveyance/storage capacity for peak runoff.</t>
  </si>
  <si>
    <t xml:space="preserve"> 24.170400°</t>
  </si>
  <si>
    <t>55.711031°</t>
  </si>
  <si>
    <t>14 شارع السَاسْ, Falaj Hazza' - Jefeer Jedeed</t>
  </si>
  <si>
    <t>Existing or nearby drainage arrangements at 14 شارع السَاسْ, Falaj Hazza' - Jefeer Jedeed require pumping support during storm events, indicating insufficient conveyance/storage capacity for peak runoff.</t>
  </si>
  <si>
    <t>Zkhir Tunnel, Nahyan The First St, Falaj Hazza' - Ramlat Zakher</t>
  </si>
  <si>
    <t>Existing or nearby drainage arrangements at Zkhir Tunnel, Nahyan The First St, Falaj Hazza' - Ramlat Zakher require pumping support during storm events, indicating insufficient conveyance/storage capacity for peak runoff.</t>
  </si>
  <si>
    <t>Green Mubazzarah &amp; Ain Al Fayda &amp; Al Dhahrah</t>
  </si>
  <si>
    <t>Ain Al Fayda, Ain Al Faydah</t>
  </si>
  <si>
    <t>Existing or nearby drainage arrangements at Ain Al Fayda, Ain Al Faydah require pumping support during storm events, indicating insufficient conveyance/storage capacity for peak runoff.</t>
  </si>
  <si>
    <t xml:space="preserve">Al Bawarij St, Ain Al Faydah - Ain Al Fayda </t>
  </si>
  <si>
    <t>Existing or nearby drainage arrangements at Al Bawarij St, Ain Al Faydah - Ain Al Fayda  require pumping support during storm events, indicating insufficient conveyance/storage capacity for peak runoff.</t>
  </si>
  <si>
    <t>Ain Al Fayda, E40 E30 R/A</t>
  </si>
  <si>
    <t>Existing or nearby drainage arrangements at Ain Al Fayda, E40 E30 R/A require pumping support during storm events, indicating insufficient conveyance/storage capacity for peak runoff.</t>
  </si>
  <si>
    <t xml:space="preserve">Dihn Al ʹOud St, Mbazzarah Al Khadra - Green Mubazzarah 2 </t>
  </si>
  <si>
    <t>Existing or nearby drainage arrangements at Dihn Al ʹOud St, Mbazzarah Al Khadra - Green Mubazzarah 2  require pumping support during storm events, indicating insufficient conveyance/storage capacity for peak runoff.</t>
  </si>
  <si>
    <t>6-16 Tawi Tay St, Al Dhahrah - Al Malaleeh</t>
  </si>
  <si>
    <t>Existing or nearby drainage arrangements at 6-16 Tawi Tay St, Al Dhahrah - Al Malaleeh require pumping support during storm events, indicating insufficient conveyance/storage capacity for peak runoff.</t>
  </si>
  <si>
    <t>Um Az Zumoul Rd, Al Dhahrah - Al Malaleeh</t>
  </si>
  <si>
    <t>Existing or nearby drainage arrangements at Um Az Zumoul Rd, Al Dhahrah - Al Malaleeh require pumping support during storm events, indicating insufficient conveyance/storage capacity for peak runoff.</t>
  </si>
  <si>
    <t>Hili</t>
  </si>
  <si>
    <t>4 An Nayfah St, Hili - Al Reef</t>
  </si>
  <si>
    <t xml:space="preserve"> 24.315390°</t>
  </si>
  <si>
    <t>55.796974°</t>
  </si>
  <si>
    <t>No Netwrok Existing or nearby drainage arrangements at 4 An Nayfah St, Hili - Al Reef require pumping support during storm events, indicating insufficient conveyance/storage capacity for peak runoff.</t>
  </si>
  <si>
    <t>91-87 Muslim Bin Yasar St, Hili - Shareat Hili</t>
  </si>
  <si>
    <t>Existing or nearby drainage arrangements at 91-87 Muslim Bin Yasar St, Hili - Shareat Hili require pumping support during storm events, indicating insufficient conveyance/storage capacity for peak runoff.</t>
  </si>
  <si>
    <t>6 Al Astorlab St - Hili - Eidan Al Mahaba</t>
  </si>
  <si>
    <t>No Network Existing or nearby drainage arrangements at 6 Al Astorlab St - Hili - Eidan Al Mahaba require pumping support during storm events, indicating insufficient conveyance/storage capacity for peak runoff.</t>
  </si>
  <si>
    <t>7-3 Irq As Simayh St Hili - Al Reef</t>
  </si>
  <si>
    <t>No Network Existing or nearby drainage arrangements at 7-3 Irq As Simayh St Hili - Al Reef require pumping support during storm events, indicating insufficient conveyance/storage capacity for peak runoff.</t>
  </si>
  <si>
    <t>Al Misbah, Hili</t>
  </si>
  <si>
    <t>Existing or nearby drainage arrangements at Al Misbah, Hili require pumping support during storm events, indicating insufficient conveyance/storage capacity for peak runoff.</t>
  </si>
  <si>
    <t>Hili (completed only monitoring)</t>
  </si>
  <si>
    <t>Al Misbah, Al Athar St. Hili Area</t>
  </si>
  <si>
    <t>Existing or nearby drainage arrangements at Al Misbah, Al Athar St. Hili Area require pumping support during storm events, indicating insufficient conveyance/storage capacity for peak runoff.</t>
  </si>
  <si>
    <t>Hili Archaeological park Roundabout, 55 - Hili - Athar Hili</t>
  </si>
  <si>
    <t>Existing or nearby drainage arrangements at Hili Archaeological park Roundabout, 55 - Hili - Athar Hili require pumping support during storm events, indicating insufficient conveyance/storage capacity for peak runoff.</t>
  </si>
  <si>
    <t>62-66 Al Hawwami St, Hili - Al Reef</t>
  </si>
  <si>
    <t>Existing or nearby drainage arrangements at 62-66 Al Hawwami St, Hili - Al Reef require pumping support during storm events, indicating insufficient conveyance/storage capacity for peak runoff.</t>
  </si>
  <si>
    <t>Khalfan Bin Matar Al Rumaithi St, Hili - Al Misbah</t>
  </si>
  <si>
    <t xml:space="preserve"> 24.295611°</t>
  </si>
  <si>
    <t>55.767882°</t>
  </si>
  <si>
    <t>Existing or nearby drainage arrangements at Khalfan Bin Matar Al Rumaithi St, Hili - Al Misbah require pumping support during storm events, indicating insufficient conveyance/storage capacity for peak runoff.</t>
  </si>
  <si>
    <t>Falaj Hili St, Hili - Ugdat Al Husoon</t>
  </si>
  <si>
    <t>Existing or nearby drainage arrangements at Falaj Hili St, Hili - Ugdat Al Husoon require pumping support during storm events, indicating insufficient conveyance/storage capacity for peak runoff.</t>
  </si>
  <si>
    <t>Mohammed Bin Khalifa St, Hili</t>
  </si>
  <si>
    <t>Existing or nearby drainage arrangements at Mohammed Bin Khalifa St, Hili require pumping support during storm events, indicating insufficient conveyance/storage capacity for peak runoff.</t>
  </si>
  <si>
    <t>Imran Bin Talhah St, Hili - Al Nayfa 1</t>
  </si>
  <si>
    <t>Existing or nearby drainage arrangements at Imran Bin Talhah St, Hili - Al Nayfa 1 require pumping support during storm events, indicating insufficient conveyance/storage capacity for peak runoff.</t>
  </si>
  <si>
    <t>Ramlat Al Ghabbah St, Hili - Al Nayfa 1</t>
  </si>
  <si>
    <t>Existing or nearby drainage arrangements at Ramlat Al Ghabbah St, Hili - Al Nayfa 1 require pumping support during storm events, indicating insufficient conveyance/storage capacity for peak runoff.</t>
  </si>
  <si>
    <t>Abu ʹUbaidah Bin Al Jarrah St, Al Fou'ah</t>
  </si>
  <si>
    <t>Existing or nearby drainage arrangements at Abu ʹUbaidah Bin Al Jarrah St, Al Fou'ah require pumping support during storm events, indicating insufficient conveyance/storage capacity for peak runoff.</t>
  </si>
  <si>
    <t>Al Reef, Hili Area</t>
  </si>
  <si>
    <t xml:space="preserve"> 24.299888°</t>
  </si>
  <si>
    <t>55.801601°</t>
  </si>
  <si>
    <t>Existing or nearby drainage arrangements at Al Reef, Hili Area require pumping support during storm events, indicating insufficient conveyance/storage capacity for peak runoff.</t>
  </si>
  <si>
    <t>Industrial Area</t>
  </si>
  <si>
    <t>Al Naglah, Industrial Area</t>
  </si>
  <si>
    <t>Local overland flow/road grading conditions at Al Naglah, Industrial Area require temporary bunding/barriers and operational dewatering until a permanent drainage/conveyance solution is implemented.</t>
  </si>
  <si>
    <t xml:space="preserve"> 24.191192°</t>
  </si>
  <si>
    <t>55.764633°</t>
  </si>
  <si>
    <t>Shiebat Al Salam, Industrial Area</t>
  </si>
  <si>
    <t>Local overland flow/road grading conditions at Shiebat Al Salam, Industrial Area require temporary bunding/barriers and operational dewatering until a permanent drainage/conveyance solution is implemented.</t>
  </si>
  <si>
    <t>As Siham 2 St, Industrial Area - Leetag</t>
  </si>
  <si>
    <t>Local overland flow/road grading conditions at As Siham 2 St, Industrial Area - Leetag require temporary bunding/barriers and operational dewatering until a permanent drainage/conveyance solution is implemented.</t>
  </si>
  <si>
    <t>Sanaiyah Tunnel, Khalid Bin Sultan St, Al Mutaw'ah - Hai Al Musalla</t>
  </si>
  <si>
    <t>Local overland flow/road grading conditions at Sanaiyah Tunnel, Khalid Bin Sultan St, Al Mutaw'ah - Hai Al Musalla require temporary bunding/barriers and operational dewatering until a permanent drainage/conveyance solution is implemented.</t>
  </si>
  <si>
    <t>Al Aras, Industrial Area</t>
  </si>
  <si>
    <t>Local overland flow/road grading conditions at Al Aras, Industrial Area require temporary bunding/barriers and operational dewatering until a permanent drainage/conveyance solution is implemented.</t>
  </si>
  <si>
    <t>Cement Factory R/A Green Mubazzarah 1</t>
  </si>
  <si>
    <t>Local overland flow/road grading conditions at Cement Factory R/A Green Mubazzarah 1 require temporary bunding/barriers and operational dewatering until a permanent drainage/conveyance solution is implemented.</t>
  </si>
  <si>
    <t>Masakin</t>
  </si>
  <si>
    <t>1024 Rd, Masakin - Ghshabah</t>
  </si>
  <si>
    <t>Existing or nearby drainage arrangements at 1024 Rd, Masakin - Ghshabah require pumping support during storm events, indicating insufficient conveyance/storage capacity for peak runoff.</t>
  </si>
  <si>
    <t>Al Adhamiyah, Masakin</t>
  </si>
  <si>
    <t>No Network Existing or nearby drainage arrangements at Al Adhamiyah, Masakin require pumping support during storm events, indicating insufficient conveyance/storage capacity for peak runoff.</t>
  </si>
  <si>
    <t>Existing or nearby drainage arrangements at Al Adhamiyah, Masakin require pumping support during storm events, indicating insufficient conveyance/storage capacity for peak runoff.</t>
  </si>
  <si>
    <t>Nahil</t>
  </si>
  <si>
    <t>Al Shaqq, Nahil</t>
  </si>
  <si>
    <t>Existing or nearby drainage arrangements at Al Shaqq, Nahil require pumping support during storm events, indicating insufficient conveyance/storage capacity for peak runoff.</t>
  </si>
  <si>
    <t>Masakkin</t>
  </si>
  <si>
    <t>Existing or nearby drainage arrangements at Masakkin require pumping support during storm events, indicating insufficient conveyance/storage capacity for peak runoff.</t>
  </si>
  <si>
    <t>E95, Nahil - Nahil 5</t>
  </si>
  <si>
    <t>Existing or nearby drainage arrangements at E95, Nahil - Nahil 5 require pumping support during storm events, indicating insufficient conveyance/storage capacity for peak runoff.</t>
  </si>
  <si>
    <t>Saih Al Gharbal</t>
  </si>
  <si>
    <t>E30, Saih Al Gharbal</t>
  </si>
  <si>
    <t>Existing or nearby drainage arrangements at E30, Saih Al Gharbal require pumping support during storm events, indicating insufficient conveyance/storage capacity for peak runoff.</t>
  </si>
  <si>
    <t>Saih Al Gharbal, Al Rawdah E30</t>
  </si>
  <si>
    <t>Existing or nearby drainage arrangements at Saih Al Gharbal, Al Rawdah E30 require pumping support during storm events, indicating insufficient conveyance/storage capacity for peak runoff.</t>
  </si>
  <si>
    <t>E30, Al Salamat - Sayh Al Daay, Ar Rawdah Rd</t>
  </si>
  <si>
    <t>Existing or nearby drainage arrangements at E30, Al Salamat - Sayh Al Daay, Ar Rawdah Rd require pumping support during storm events, indicating insufficient conveyance/storage capacity for peak runoff.</t>
  </si>
  <si>
    <t>E30, Al Salamat - Sayh Al Daay - Ar Rawdh Rd</t>
  </si>
  <si>
    <t>Existing or nearby drainage arrangements at E30, Al Salamat - Sayh Al Daay - Ar Rawdh Rd require pumping support during storm events, indicating insufficient conveyance/storage capacity for peak runoff.</t>
  </si>
  <si>
    <t>Al Masoudi</t>
  </si>
  <si>
    <t>6-12 Al Mataf St, Al Mas'oudi - Al Gaseemah</t>
  </si>
  <si>
    <t>No Network Existing or nearby drainage arrangements at 6-12 Al Mataf St, Al Mas'oudi - Al Gaseemah require pumping support during storm events, indicating insufficient conveyance/storage capacity for peak runoff.</t>
  </si>
  <si>
    <t>Al Mubtahil St, Al Mas'oudi - Al Gaseemah</t>
  </si>
  <si>
    <t>Existing or nearby drainage arrangements at Al Mubtahil St, Al Mas'oudi - Al Gaseemah require pumping support during storm events, indicating insufficient conveyance/storage capacity for peak runoff.</t>
  </si>
  <si>
    <t>Tahnoun Bin Mohammed Al Nahyan Rd. Tunnel, Batha Bin Hilal, Al Tiwayya</t>
  </si>
  <si>
    <t>Existing or nearby drainage arrangements at Tahnoun Bin Mohammed Al Nahyan Rd. Tunnel, Batha Bin Hilal, Al Tiwayya require pumping support during storm events, indicating insufficient conveyance/storage capacity for peak runoff.</t>
  </si>
  <si>
    <t xml:space="preserve"> 24.274309°</t>
  </si>
  <si>
    <t>55.740023°</t>
  </si>
  <si>
    <t>Al Abtal St, Al Mas'oudi - Manazef</t>
  </si>
  <si>
    <t>Existing or nearby drainage arrangements at Al Abtal St, Al Mas'oudi - Manazef require pumping support during storm events, indicating insufficient conveyance/storage capacity for peak runoff.</t>
  </si>
  <si>
    <t>Bad Bint Saud</t>
  </si>
  <si>
    <t>Al Sharf, Bad' Bint Sa'oud</t>
  </si>
  <si>
    <t>Existing or nearby drainage arrangements at Al Sharf, Bad' Bint Sa'oud require pumping support during storm events, indicating insufficient conveyance/storage capacity for peak runoff.</t>
  </si>
  <si>
    <t>E95, Bad' Bint Sa'oud - Qarn Bint Saud</t>
  </si>
  <si>
    <t>Existing or nearby drainage arrangements at E95, Bad' Bint Sa'oud - Qarn Bint Saud require pumping support during storm events, indicating insufficient conveyance/storage capacity for peak runoff.</t>
  </si>
  <si>
    <t>Qarn Bint Saud, Bad' Bint Sa'oud</t>
  </si>
  <si>
    <t>Existing or nearby drainage arrangements at Qarn Bint Saud, Bad' Bint Sa'oud require pumping support during storm events, indicating insufficient conveyance/storage capacity for peak runoff.</t>
  </si>
  <si>
    <t>E95, Bad' Bint Sa'oud - Qarn Bint Saud. Nahil Rd.</t>
  </si>
  <si>
    <t>Existing or nearby drainage arrangements at E95, Bad' Bint Sa'oud - Qarn Bint Saud. Nahil Rd. require pumping support during storm events, indicating insufficient conveyance/storage capacity for peak runoff.</t>
  </si>
  <si>
    <t>Sweihan</t>
  </si>
  <si>
    <t>Ramlat Sweihan 3, Ramlat Sweihan</t>
  </si>
  <si>
    <t>Existing or nearby drainage arrangements at Ramlat Sweihan 3, Ramlat Sweihan require pumping support during storm events, indicating insufficient conveyance/storage capacity for peak runoff.</t>
  </si>
  <si>
    <t>Sayh Madhran, Al 'Ajban</t>
  </si>
  <si>
    <t>Existing or nearby drainage arrangements at Sayh Madhran, Al 'Ajban require pumping support during storm events, indicating insufficient conveyance/storage capacity for peak runoff.</t>
  </si>
  <si>
    <t>Al Taf Rd. Sweihan - Abu Dhabi Rd, Niqa Al Dheeb - Raigha</t>
  </si>
  <si>
    <t>Existing or nearby drainage arrangements at Al Taf Rd. Sweihan - Abu Dhabi Rd, Niqa Al Dheeb - Raigha require pumping support during storm events, indicating insufficient conveyance/storage capacity for peak runoff.</t>
  </si>
  <si>
    <t>Al Taf Rd. Sweihan - Abu Dhabi Rd, Sweihan - Bida Al Samah</t>
  </si>
  <si>
    <t>Existing or nearby drainage arrangements at Al Taf Rd. Sweihan - Abu Dhabi Rd, Sweihan - Bida Al Samah require pumping support during storm events, indicating insufficient conveyance/storage capacity for peak runoff.</t>
  </si>
  <si>
    <t>E20, Ramlat Sweihan - Ramlat Sweihan 3</t>
  </si>
  <si>
    <t>Existing or nearby drainage arrangements at E20, Ramlat Sweihan - Ramlat Sweihan 3 require pumping support during storm events, indicating insufficient conveyance/storage capacity for peak runoff.</t>
  </si>
  <si>
    <t>Al Taf Rd. Raigha, Niqa Al Dheeb</t>
  </si>
  <si>
    <t>Existing or nearby drainage arrangements at Al Taf Rd. Raigha, Niqa Al Dheeb require pumping support during storm events, indicating insufficient conveyance/storage capacity for peak runoff.</t>
  </si>
  <si>
    <t>Al Taf Rd. Sayh Al Tuwaissah, Al Sad</t>
  </si>
  <si>
    <t>Existing or nearby drainage arrangements at Al Taf Rd. Sayh Al Tuwaissah, Al Sad require pumping support during storm events, indicating insufficient conveyance/storage capacity for peak runoff.</t>
  </si>
  <si>
    <t>Al Taf Rd. Sweihan - Bida Al Samah</t>
  </si>
  <si>
    <t>Existing or nearby drainage arrangements at Al Taf Rd. Sweihan - Bida Al Samah require pumping support during storm events, indicating insufficient conveyance/storage capacity for peak runoff.</t>
  </si>
  <si>
    <t>E20, Niqa Al Dheeb - Niqa Al Dheeb 2 - Sweihan Rd.</t>
  </si>
  <si>
    <t>Existing or nearby drainage arrangements at E20, Niqa Al Dheeb - Niqa Al Dheeb 2 - Sweihan Rd. require pumping support during storm events, indicating insufficient conveyance/storage capacity for peak runoff.</t>
  </si>
  <si>
    <t>E20, Sweihan - Ghaffat Rakadh</t>
  </si>
  <si>
    <t>Existing or nearby drainage arrangements at E20, Sweihan - Ghaffat Rakadh require pumping support during storm events, indicating insufficient conveyance/storage capacity for peak runoff.</t>
  </si>
  <si>
    <t>Bida Al Mghanni, Nahil Sweihan Rd.</t>
  </si>
  <si>
    <t>24.516553,55.498937</t>
  </si>
  <si>
    <t>Existing or nearby drainage arrangements at Bida Al Mghanni, Nahil Sweihan Rd. require pumping support during storm events, indicating insufficient conveyance/storage capacity for peak runoff.</t>
  </si>
  <si>
    <t>44th St, Sweihan - Shabiat Suweihan</t>
  </si>
  <si>
    <t>No Network Existing or nearby drainage arrangements at 44th St, Sweihan - Shabiat Suweihan require pumping support during storm events, indicating insufficient conveyance/storage capacity for peak runoff.</t>
  </si>
  <si>
    <t>Shabiat Suweihan, Sweihan Area</t>
  </si>
  <si>
    <t>No Network Existing or nearby drainage arrangements at Shabiat Suweihan, Sweihan Area require pumping support during storm events, indicating insufficient conveyance/storage capacity for peak runoff.</t>
  </si>
  <si>
    <t>Zakhir &amp; Neima &amp; Shi'bat Al Wutah</t>
  </si>
  <si>
    <t>Al Shamali St, Zakhir - Zakhir South</t>
  </si>
  <si>
    <t>Existing or nearby drainage arrangements at Al Shamali St, Zakhir - Zakhir South require pumping support during storm events, indicating insufficient conveyance/storage capacity for peak runoff.</t>
  </si>
  <si>
    <t>Gafat Al Nayyar, Zakhir</t>
  </si>
  <si>
    <t>Existing or nearby drainage arrangements at Gafat Al Nayyar, Zakhir require pumping support during storm events, indicating insufficient conveyance/storage capacity for peak runoff.</t>
  </si>
  <si>
    <t>Zakher Wedding Hall</t>
  </si>
  <si>
    <t>Existing or nearby drainage arrangements at Zakher Wedding Hall require pumping support during storm events, indicating insufficient conveyance/storage capacity for peak runoff.</t>
  </si>
  <si>
    <t>Ramlat Zakher, Zakhir</t>
  </si>
  <si>
    <t>Existing or nearby drainage arrangements at Ramlat Zakher, Zakhir require pumping support during storm events, indicating insufficient conveyance/storage capacity for peak runoff.</t>
  </si>
  <si>
    <t>Neima 1, Ni'mah</t>
  </si>
  <si>
    <t>No Network Existing or nearby drainage arrangements at Neima 1, Ni'mah require pumping support during storm events, indicating insufficient conveyance/storage capacity for peak runoff.</t>
  </si>
  <si>
    <t xml:space="preserve"> 24.149300°</t>
  </si>
  <si>
    <t>55.695813°</t>
  </si>
  <si>
    <t xml:space="preserve"> 24.141845°</t>
  </si>
  <si>
    <t>55.709916°</t>
  </si>
  <si>
    <t xml:space="preserve">
6 Al Hawayir St    Shi'bat Al Wutah - Shiebat Al Watah 1 </t>
  </si>
  <si>
    <t>Existing or nearby drainage arrangements at 
6 Al Hawayir St    Shi'bat Al Wutah - Shiebat Al Watah 1  require pumping support during storm events, indicating insufficient conveyance/storage capacity for peak runoff.</t>
  </si>
  <si>
    <r>
      <t xml:space="preserve">Municipality Emergency Response Plan A
</t>
    </r>
    <r>
      <rPr>
        <b/>
        <i/>
        <sz val="8"/>
        <color theme="1"/>
        <rFont val="Arial"/>
        <family val="2"/>
      </rPr>
      <t>For storm events up to a 1-in-10-year event: Very high Criticality hotspot: &lt;2h | High criticality hotspot: &lt;4h | Medium criticality hotspot: &lt;10h | Low criticality hotspot: &gt;10h</t>
    </r>
  </si>
  <si>
    <r>
      <t xml:space="preserve">Municipality Emergency Response Plan B
</t>
    </r>
    <r>
      <rPr>
        <b/>
        <sz val="8"/>
        <color theme="1"/>
        <rFont val="Arial"/>
        <family val="2"/>
      </rPr>
      <t>For storm events exceeding a 1-in-10-year event:</t>
    </r>
    <r>
      <rPr>
        <b/>
        <i/>
        <sz val="8"/>
        <color theme="1"/>
        <rFont val="Arial"/>
        <family val="2"/>
      </rPr>
      <t xml:space="preserve"> Very high Criticality hotspot: &lt;4h | High criticality hotspot: &lt;6h | Medium criticality hotspot: &lt;10h | Low criticality hotspot: &gt;10h</t>
    </r>
  </si>
  <si>
    <t>Based on future design</t>
  </si>
  <si>
    <t>Permenent</t>
  </si>
  <si>
    <t>No network</t>
  </si>
  <si>
    <t>N/A</t>
  </si>
  <si>
    <t>future project</t>
  </si>
  <si>
    <t>Upgrade Network</t>
  </si>
  <si>
    <t>1:2</t>
  </si>
  <si>
    <t>23mm depth for 24hr</t>
  </si>
  <si>
    <t>1:5</t>
  </si>
  <si>
    <t>47mm depth for 24hr</t>
  </si>
  <si>
    <t>Pond/Side slope protection</t>
  </si>
  <si>
    <t>1:50</t>
  </si>
  <si>
    <t>105mm depth for 24hr</t>
  </si>
  <si>
    <t>Upgrade Underpass drainage system</t>
  </si>
  <si>
    <t>New Network</t>
  </si>
  <si>
    <t>Ongoing</t>
  </si>
  <si>
    <t>under construction</t>
  </si>
  <si>
    <t>completed</t>
  </si>
  <si>
    <t>AAM Daily Rate</t>
  </si>
  <si>
    <t>Total Emergency Response Budget (10)</t>
  </si>
  <si>
    <t>-</t>
  </si>
  <si>
    <t>the information will be provided by end of next week</t>
  </si>
  <si>
    <t>Not Started</t>
  </si>
  <si>
    <t>AAI</t>
  </si>
  <si>
    <t>Design phase</t>
  </si>
  <si>
    <t>Implementation phase</t>
  </si>
  <si>
    <t>Completed</t>
  </si>
  <si>
    <t xml:space="preserve">Based on Future Design </t>
  </si>
  <si>
    <t xml:space="preserve">On Track </t>
  </si>
  <si>
    <t xml:space="preserve"> Not Started</t>
  </si>
  <si>
    <t>On Tack</t>
  </si>
  <si>
    <t>On Track</t>
  </si>
  <si>
    <t>AlDar</t>
  </si>
  <si>
    <t>Hand Over Phase</t>
  </si>
  <si>
    <t>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</si>
</sst>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8"/>
      <color rgb="FF000000"/>
      <name val="Arial"/>
      <family val="2"/>
      <charset val="1"/>
    </font>
    <font>
      <b/>
      <i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i/>
      <sz val="8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/>
      <i/>
      <sz val="12"/>
      <color rgb="FF404040"/>
      <name val="Arial"/>
      <family val="2"/>
    </font>
    <font>
      <b/>
      <i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10"/>
      <color rgb="FF404040"/>
      <name val="Arial"/>
      <family val="2"/>
    </font>
    <font>
      <sz val="9"/>
      <color rgb="FF000000"/>
      <name val="Arial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E0E0E0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FFBEF"/>
        <bgColor rgb="FFFFFFFF"/>
      </patternFill>
    </fill>
    <fill>
      <patternFill patternType="solid">
        <fgColor rgb="FFF3F3F3"/>
        <bgColor rgb="FFFFFBEF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4" tint="0.79998168889431442"/>
        <bgColor rgb="FFF3F3F3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9" tint="0.79998168889431442"/>
        <bgColor rgb="FFF3F3F3"/>
      </patternFill>
    </fill>
    <fill>
      <patternFill patternType="solid">
        <fgColor rgb="FFFFFBE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E0E0E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2" fillId="0" borderId="1" xfId="0" applyFont="1" applyBorder="1" applyAlignment="1">
      <alignment horizontal="center" vertical="top" wrapText="1"/>
    </xf>
    <xf numFmtId="0" fontId="1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164" fontId="2" fillId="4" borderId="1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7" fillId="0" borderId="1" xfId="0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3" fontId="6" fillId="0" borderId="1" xfId="0" applyNumberFormat="1" applyFont="1" applyBorder="1"/>
    <xf numFmtId="0" fontId="8" fillId="0" borderId="0" xfId="0" applyFont="1"/>
    <xf numFmtId="0" fontId="9" fillId="0" borderId="0" xfId="0" applyFont="1"/>
    <xf numFmtId="3" fontId="6" fillId="0" borderId="2" xfId="0" applyNumberFormat="1" applyFont="1" applyBorder="1"/>
    <xf numFmtId="0" fontId="2" fillId="0" borderId="3" xfId="0" applyFont="1" applyBorder="1"/>
    <xf numFmtId="3" fontId="2" fillId="0" borderId="5" xfId="0" applyNumberFormat="1" applyFont="1" applyBorder="1"/>
    <xf numFmtId="3" fontId="6" fillId="0" borderId="6" xfId="0" applyNumberFormat="1" applyFont="1" applyBorder="1"/>
    <xf numFmtId="0" fontId="10" fillId="0" borderId="7" xfId="0" applyFont="1" applyBorder="1" applyAlignment="1">
      <alignment horizontal="left" vertical="center"/>
    </xf>
    <xf numFmtId="3" fontId="6" fillId="0" borderId="0" xfId="0" applyNumberFormat="1" applyFont="1"/>
    <xf numFmtId="3" fontId="2" fillId="0" borderId="0" xfId="0" applyNumberFormat="1" applyFont="1"/>
    <xf numFmtId="0" fontId="10" fillId="0" borderId="0" xfId="0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6" fillId="0" borderId="8" xfId="0" applyNumberFormat="1" applyFont="1" applyBorder="1"/>
    <xf numFmtId="3" fontId="6" fillId="0" borderId="5" xfId="0" applyNumberFormat="1" applyFont="1" applyBorder="1"/>
    <xf numFmtId="0" fontId="11" fillId="5" borderId="1" xfId="0" applyFont="1" applyFill="1" applyBorder="1"/>
    <xf numFmtId="3" fontId="12" fillId="0" borderId="9" xfId="0" applyNumberFormat="1" applyFont="1" applyBorder="1"/>
    <xf numFmtId="0" fontId="12" fillId="0" borderId="9" xfId="0" applyFont="1" applyBorder="1"/>
    <xf numFmtId="164" fontId="12" fillId="0" borderId="9" xfId="0" applyNumberFormat="1" applyFont="1" applyBorder="1"/>
    <xf numFmtId="0" fontId="12" fillId="0" borderId="9" xfId="0" applyFont="1" applyBorder="1" applyAlignment="1">
      <alignment wrapText="1"/>
    </xf>
    <xf numFmtId="0" fontId="11" fillId="5" borderId="1" xfId="0" applyFont="1" applyFill="1" applyBorder="1" applyAlignment="1">
      <alignment horizontal="left" vertical="center" wrapText="1"/>
    </xf>
    <xf numFmtId="3" fontId="12" fillId="6" borderId="9" xfId="0" applyNumberFormat="1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left" vertical="center"/>
    </xf>
    <xf numFmtId="0" fontId="12" fillId="7" borderId="9" xfId="0" applyFont="1" applyFill="1" applyBorder="1"/>
    <xf numFmtId="0" fontId="0" fillId="0" borderId="0" xfId="0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9" borderId="10" xfId="0" applyFont="1" applyFill="1" applyBorder="1" applyAlignment="1">
      <alignment vertical="center"/>
    </xf>
    <xf numFmtId="0" fontId="13" fillId="11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4" fillId="9" borderId="10" xfId="0" applyFont="1" applyFill="1" applyBorder="1" applyAlignment="1">
      <alignment vertical="center" wrapText="1"/>
    </xf>
    <xf numFmtId="0" fontId="14" fillId="10" borderId="10" xfId="0" applyFont="1" applyFill="1" applyBorder="1" applyAlignment="1">
      <alignment horizontal="left" vertical="center" wrapText="1"/>
    </xf>
    <xf numFmtId="0" fontId="17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6" borderId="0" xfId="0" applyFont="1" applyFill="1"/>
    <xf numFmtId="0" fontId="0" fillId="12" borderId="0" xfId="0" applyFill="1" applyAlignment="1">
      <alignment horizontal="center" vertical="center"/>
    </xf>
    <xf numFmtId="3" fontId="18" fillId="6" borderId="0" xfId="0" applyNumberFormat="1" applyFont="1" applyFill="1" applyAlignment="1">
      <alignment horizontal="center" vertical="center"/>
    </xf>
    <xf numFmtId="49" fontId="18" fillId="6" borderId="0" xfId="0" applyNumberFormat="1" applyFont="1" applyFill="1" applyAlignment="1">
      <alignment horizontal="center" vertical="center"/>
    </xf>
    <xf numFmtId="17" fontId="0" fillId="12" borderId="0" xfId="0" applyNumberFormat="1" applyFill="1" applyAlignment="1">
      <alignment horizontal="center" vertical="center"/>
    </xf>
    <xf numFmtId="0" fontId="18" fillId="13" borderId="0" xfId="0" applyFont="1" applyFill="1"/>
    <xf numFmtId="0" fontId="0" fillId="14" borderId="0" xfId="0" applyFill="1" applyAlignment="1">
      <alignment horizontal="center" vertical="center"/>
    </xf>
    <xf numFmtId="3" fontId="19" fillId="0" borderId="0" xfId="0" applyNumberFormat="1" applyFont="1"/>
    <xf numFmtId="3" fontId="20" fillId="0" borderId="0" xfId="0" applyNumberFormat="1" applyFont="1"/>
    <xf numFmtId="0" fontId="13" fillId="8" borderId="0" xfId="0" applyFont="1" applyFill="1" applyAlignment="1">
      <alignment horizontal="center" vertical="top" wrapText="1"/>
    </xf>
    <xf numFmtId="0" fontId="17" fillId="8" borderId="0" xfId="0" applyFont="1" applyFill="1" applyAlignment="1">
      <alignment horizontal="center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6" borderId="9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7" fontId="0" fillId="12" borderId="9" xfId="0" applyNumberFormat="1" applyFill="1" applyBorder="1" applyAlignment="1">
      <alignment horizontal="center" vertical="center"/>
    </xf>
    <xf numFmtId="3" fontId="21" fillId="6" borderId="0" xfId="0" applyNumberFormat="1" applyFont="1" applyFill="1" applyAlignment="1">
      <alignment horizontal="center" vertical="center" wrapText="1"/>
    </xf>
    <xf numFmtId="3" fontId="21" fillId="6" borderId="9" xfId="0" applyNumberFormat="1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5" borderId="0" xfId="0" applyFont="1" applyFill="1" applyAlignment="1">
      <alignment horizontal="left" vertical="center" wrapText="1"/>
    </xf>
    <xf numFmtId="3" fontId="6" fillId="0" borderId="4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4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alignment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F"/>
      <rgbColor rgb="FFF3F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tspotData" displayName="HotspotData" ref="A3:BK603" totalsRowShown="0">
  <autoFilter ref="A3:BK603" xr:uid="{00000000-0009-0000-0100-000001000000}"/>
  <tableColumns count="63">
    <tableColumn id="1" xr3:uid="{00000000-0010-0000-0000-000001000000}" name="Hotspot_ID"/>
    <tableColumn id="2" xr3:uid="{00000000-0010-0000-0000-000002000000}" name="Hotspot_Area"/>
    <tableColumn id="3" xr3:uid="{00000000-0010-0000-0000-000003000000}" name="Hotspot_Location"/>
    <tableColumn id="4" xr3:uid="{00000000-0010-0000-0000-000004000000}" name="Latitude"/>
    <tableColumn id="5" xr3:uid="{00000000-0010-0000-0000-000005000000}" name="Longitude"/>
    <tableColumn id="6" xr3:uid="{00000000-0010-0000-0000-000006000000}" name="Criticality"/>
    <tableColumn id="7" xr3:uid="{00000000-0010-0000-0000-000007000000}" name="Developer_Private_Area"/>
    <tableColumn id="8" xr3:uid="{00000000-0010-0000-0000-000008000000}" name="Developer Name"/>
    <tableColumn id="9" xr3:uid="{00000000-0010-0000-0000-000009000000}" name="Network_Available"/>
    <tableColumn id="10" xr3:uid="{00000000-0010-0000-0000-00000A000000}" name="Root_Cause"/>
    <tableColumn id="11" xr3:uid="{00000000-0010-0000-0000-00000B000000}" name="Root_Cause_Details" dataDxfId="13"/>
    <tableColumn id="12" xr3:uid="{00000000-0010-0000-0000-00000C000000}" name="Manpower_Qty"/>
    <tableColumn id="13" xr3:uid="{00000000-0010-0000-0000-00000D000000}" name="Manpower Active-duty AED"/>
    <tableColumn id="14" xr3:uid="{00000000-0010-0000-0000-00000E000000}" name="Manpower Standby AED"/>
    <tableColumn id="15" xr3:uid="{00000000-0010-0000-0000-00000F000000}" name="Total Manpower_Budget_AED"/>
    <tableColumn id="16" xr3:uid="{00000000-0010-0000-0000-000010000000}" name="Pumps_Qty"/>
    <tableColumn id="17" xr3:uid="{00000000-0010-0000-0000-000011000000}" name="Diesel Pump 12 inch Qty"/>
    <tableColumn id="18" xr3:uid="{00000000-0010-0000-0000-000012000000}" name="Diesel Pump 8 inch Qty"/>
    <tableColumn id="19" xr3:uid="{00000000-0010-0000-0000-000013000000}" name="Diesel Pump 6 inch Qty"/>
    <tableColumn id="20" xr3:uid="{00000000-0010-0000-0000-000014000000}" name="Diesel Pump 12 inch AED/Day"/>
    <tableColumn id="21" xr3:uid="{00000000-0010-0000-0000-000015000000}" name="Diesel Pump 8 inch AED/Day"/>
    <tableColumn id="22" xr3:uid="{00000000-0010-0000-0000-000016000000}" name="Diesel Pump 6 inch AED/Day"/>
    <tableColumn id="23" xr3:uid="{00000000-0010-0000-0000-000017000000}" name="Total Pump Daily Rate"/>
    <tableColumn id="24" xr3:uid="{00000000-0010-0000-0000-000018000000}" name="Total Pump Active Duty AED2"/>
    <tableColumn id="25" xr3:uid="{00000000-0010-0000-0000-000019000000}" name="Total Pump Standby AED"/>
    <tableColumn id="26" xr3:uid="{00000000-0010-0000-0000-00001A000000}" name="Pumps_Budget_AED"/>
    <tableColumn id="27" xr3:uid="{00000000-0010-0000-0000-00001B000000}" name="Tankers_Qty"/>
    <tableColumn id="28" xr3:uid="{00000000-0010-0000-0000-00001C000000}" name="Tankers_Budget_AED"/>
    <tableColumn id="29" xr3:uid="{00000000-0010-0000-0000-00001D000000}" name="Concrete_Barrier_AED"/>
    <tableColumn id="30" xr3:uid="{00000000-0010-0000-0000-00001E000000}" name="Sand_Barrier_AED"/>
    <tableColumn id="31" xr3:uid="{00000000-0010-0000-0000-00001F000000}" name="Detention_Ponds_AED"/>
    <tableColumn id="32" xr3:uid="{00000000-0010-0000-0000-000020000000}" name="Collection_Chamber_AED"/>
    <tableColumn id="33" xr3:uid="{00000000-0010-0000-0000-000021000000}" name="Manpower_Qty2"/>
    <tableColumn id="34" xr3:uid="{00000000-0010-0000-0000-000022000000}" name="Manpower_Budget_AED3"/>
    <tableColumn id="35" xr3:uid="{00000000-0010-0000-0000-000023000000}" name="Pumps_Qty4"/>
    <tableColumn id="36" xr3:uid="{00000000-0010-0000-0000-000024000000}" name="Pumps_Budget_AED5"/>
    <tableColumn id="37" xr3:uid="{00000000-0010-0000-0000-000025000000}" name="Tankers_Qty6"/>
    <tableColumn id="38" xr3:uid="{00000000-0010-0000-0000-000026000000}" name="Tankers_Budget_AED7"/>
    <tableColumn id="39" xr3:uid="{00000000-0010-0000-0000-000027000000}" name="IDD Interventoin Planned"/>
    <tableColumn id="40" xr3:uid="{00000000-0010-0000-0000-000028000000}" name="IDD_Design_Category"/>
    <tableColumn id="41" xr3:uid="{00000000-0010-0000-0000-000029000000}" name="Design Solution"/>
    <tableColumn id="42" xr3:uid="{00000000-0010-0000-0000-00002A000000}" name="Type of Intervention"/>
    <tableColumn id="43" xr3:uid="{00000000-0010-0000-0000-00002B000000}" name="Additional Budget Requirment"/>
    <tableColumn id="44" xr3:uid="{00000000-0010-0000-0000-00002C000000}" name="Additional Budget Requested"/>
    <tableColumn id="45" xr3:uid="{00000000-0010-0000-0000-00002D000000}" name="Hotspot Network Rain Design Event (Current)"/>
    <tableColumn id="46" xr3:uid="{00000000-0010-0000-0000-00002E000000}" name="Hotspot Network Design Technical Capacity (Current)"/>
    <tableColumn id="47" xr3:uid="{00000000-0010-0000-0000-00002F000000}" name="Hotspot Network Rain Design Event (Future)"/>
    <tableColumn id="48" xr3:uid="{00000000-0010-0000-0000-000030000000}" name="Hotspot Network Design Technical Capacity (Future)"/>
    <tableColumn id="49" xr3:uid="{00000000-0010-0000-0000-000031000000}" name="Flood Volume Capacity after Intervention "/>
    <tableColumn id="50" xr3:uid="{00000000-0010-0000-0000-000032000000}" name="Associated recovery time after intervention"/>
    <tableColumn id="51" xr3:uid="{00000000-0010-0000-0000-000033000000}" name="Planned_IDD_Mobilization_Date"/>
    <tableColumn id="52" xr3:uid="{00000000-0010-0000-0000-000034000000}" name="Planned_IDD_Completion_Date"/>
    <tableColumn id="53" xr3:uid="{00000000-0010-0000-0000-000035000000}" name="Project Stage"/>
    <tableColumn id="54" xr3:uid="{00000000-0010-0000-0000-000036000000}" name="Approval from IDAS secured (Yes/No)"/>
    <tableColumn id="55" xr3:uid="{00000000-0010-0000-0000-000037000000}" name="Actual_Mobilization_Date"/>
    <tableColumn id="56" xr3:uid="{00000000-0010-0000-0000-000038000000}" name="Actual_Completion_Date"/>
    <tableColumn id="57" xr3:uid="{00000000-0010-0000-0000-000039000000}" name="Intervention status"/>
    <tableColumn id="58" xr3:uid="{00000000-0010-0000-0000-00003A000000}" name="IDD_Owner_Name"/>
    <tableColumn id="59" xr3:uid="{00000000-0010-0000-0000-00003B000000}" name="Is_Private_Developer"/>
    <tableColumn id="60" xr3:uid="{00000000-0010-0000-0000-00003C000000}" name="Root_Cause_Category"/>
    <tableColumn id="61" xr3:uid="{00000000-0010-0000-0000-00003D000000}" name="IDD_Covered"/>
    <tableColumn id="62" xr3:uid="{00000000-0010-0000-0000-00003E000000}" name="IDD_Completion_Date2"/>
    <tableColumn id="63" xr3:uid="{00000000-0010-0000-0000-00003F000000}" name="IDD_Timeline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1"/>
  <sheetViews>
    <sheetView showGridLines="0" topLeftCell="A28" zoomScaleNormal="100" workbookViewId="0">
      <selection activeCell="E41" sqref="E41:E42"/>
    </sheetView>
  </sheetViews>
  <sheetFormatPr defaultColWidth="8.7109375" defaultRowHeight="15" x14ac:dyDescent="0.25"/>
  <cols>
    <col min="1" max="1" width="35" customWidth="1"/>
    <col min="2" max="2" width="22" customWidth="1"/>
    <col min="3" max="6" width="18" customWidth="1"/>
    <col min="7" max="8" width="20" customWidth="1"/>
    <col min="9" max="11" width="18" customWidth="1"/>
  </cols>
  <sheetData>
    <row r="1" spans="1:8" ht="21.75" customHeight="1" x14ac:dyDescent="0.25">
      <c r="A1" s="67" t="s">
        <v>0</v>
      </c>
      <c r="B1" s="67"/>
      <c r="C1" s="67"/>
      <c r="D1" s="67"/>
      <c r="E1" s="67"/>
      <c r="F1" s="67"/>
    </row>
    <row r="2" spans="1:8" ht="14.25" customHeight="1" x14ac:dyDescent="0.25">
      <c r="A2" s="3" t="s">
        <v>1</v>
      </c>
      <c r="B2" s="4" t="s">
        <v>2</v>
      </c>
    </row>
    <row r="3" spans="1:8" ht="14.25" customHeight="1" x14ac:dyDescent="0.25">
      <c r="A3" s="5" t="s">
        <v>3</v>
      </c>
    </row>
    <row r="4" spans="1:8" ht="14.25" customHeight="1" x14ac:dyDescent="0.25">
      <c r="B4" s="6" t="s">
        <v>4</v>
      </c>
      <c r="C4" s="7">
        <f>DATE(2027,2,14)</f>
        <v>46432</v>
      </c>
      <c r="D4" s="68"/>
      <c r="E4" s="68"/>
      <c r="F4" s="68"/>
      <c r="G4" s="68"/>
      <c r="H4" s="68"/>
    </row>
    <row r="6" spans="1:8" ht="21.75" customHeight="1" x14ac:dyDescent="0.25">
      <c r="A6" s="67" t="s">
        <v>5</v>
      </c>
      <c r="B6" s="67"/>
      <c r="C6" s="67"/>
      <c r="D6" s="67"/>
      <c r="E6" s="67"/>
      <c r="F6" s="67"/>
    </row>
    <row r="7" spans="1:8" ht="15" customHeight="1" x14ac:dyDescent="0.25">
      <c r="A7" s="69" t="s">
        <v>6</v>
      </c>
      <c r="B7" s="69"/>
      <c r="C7" s="69"/>
      <c r="D7" s="69"/>
      <c r="E7" s="69"/>
      <c r="F7" s="69"/>
    </row>
    <row r="8" spans="1:8" ht="14.25" customHeight="1" x14ac:dyDescent="0.25">
      <c r="A8" s="8" t="s">
        <v>7</v>
      </c>
      <c r="B8" s="8" t="s">
        <v>8</v>
      </c>
      <c r="C8" s="8" t="s">
        <v>9</v>
      </c>
    </row>
    <row r="9" spans="1:8" ht="14.25" customHeight="1" x14ac:dyDescent="0.25">
      <c r="A9" s="4" t="s">
        <v>10</v>
      </c>
      <c r="B9" s="9">
        <f>COUNTIF(Analysis!$A$4:$A$603,"&gt;0")</f>
        <v>184</v>
      </c>
    </row>
    <row r="10" spans="1:8" ht="14.25" customHeight="1" x14ac:dyDescent="0.25">
      <c r="A10" s="10" t="s">
        <v>11</v>
      </c>
      <c r="B10" s="9">
        <f>SUMPRODUCT((UPPER(TRIM(Analysis!$F$4:$F$603))="VERY HIGH")*1)</f>
        <v>89</v>
      </c>
      <c r="C10" s="11">
        <f t="shared" ref="C10:C15" si="0">IF($B$9=0,0,B10/$B$9)</f>
        <v>0.48369565217391303</v>
      </c>
    </row>
    <row r="11" spans="1:8" ht="14.25" customHeight="1" x14ac:dyDescent="0.25">
      <c r="A11" s="10" t="s">
        <v>12</v>
      </c>
      <c r="B11" s="9">
        <f>SUMPRODUCT((UPPER(TRIM(Analysis!$F$4:$F$603))="HIGH")*1)</f>
        <v>60</v>
      </c>
      <c r="C11" s="11">
        <f t="shared" si="0"/>
        <v>0.32608695652173914</v>
      </c>
    </row>
    <row r="12" spans="1:8" ht="14.25" customHeight="1" x14ac:dyDescent="0.25">
      <c r="A12" s="10" t="s">
        <v>13</v>
      </c>
      <c r="B12" s="9">
        <f>SUMPRODUCT((UPPER(TRIM(Analysis!$F$4:$F$603))="MEDIUM")*1)</f>
        <v>32</v>
      </c>
      <c r="C12" s="11">
        <f t="shared" si="0"/>
        <v>0.17391304347826086</v>
      </c>
    </row>
    <row r="13" spans="1:8" ht="14.25" customHeight="1" x14ac:dyDescent="0.25">
      <c r="A13" s="10" t="s">
        <v>14</v>
      </c>
      <c r="B13" s="9">
        <f>SUMPRODUCT((UPPER(TRIM(Analysis!$F$4:$F$603))="LOW")*1)</f>
        <v>3</v>
      </c>
      <c r="C13" s="11">
        <f t="shared" si="0"/>
        <v>1.6304347826086956E-2</v>
      </c>
    </row>
    <row r="14" spans="1:8" ht="14.25" customHeight="1" x14ac:dyDescent="0.25">
      <c r="A14" s="10" t="s">
        <v>15</v>
      </c>
      <c r="B14" s="9">
        <f>(COUNTIF(Analysis!$F$4:$F$603,"Very High*")+COUNTIF(Analysis!$F$4:$F$603,"High*"))</f>
        <v>149</v>
      </c>
      <c r="C14" s="11">
        <f t="shared" si="0"/>
        <v>0.80978260869565222</v>
      </c>
    </row>
    <row r="15" spans="1:8" ht="14.25" customHeight="1" x14ac:dyDescent="0.25">
      <c r="A15" s="10" t="s">
        <v>16</v>
      </c>
      <c r="B15" s="9">
        <f>(COUNTIF(Analysis!$F$4:$F$603,"Medium*")+COUNTIF(Analysis!$F$4:$F$603,"Low*"))</f>
        <v>35</v>
      </c>
      <c r="C15" s="11">
        <f t="shared" si="0"/>
        <v>0.19021739130434784</v>
      </c>
    </row>
    <row r="17" spans="1:6" ht="15" customHeight="1" x14ac:dyDescent="0.25">
      <c r="A17" s="69" t="s">
        <v>17</v>
      </c>
      <c r="B17" s="69"/>
      <c r="C17" s="69"/>
      <c r="D17" s="69"/>
      <c r="E17" s="69"/>
      <c r="F17" s="69"/>
    </row>
    <row r="18" spans="1:6" ht="14.25" customHeight="1" x14ac:dyDescent="0.25">
      <c r="A18" s="8" t="s">
        <v>18</v>
      </c>
      <c r="B18" s="8" t="s">
        <v>8</v>
      </c>
      <c r="C18" s="8" t="s">
        <v>9</v>
      </c>
    </row>
    <row r="19" spans="1:6" ht="14.25" customHeight="1" x14ac:dyDescent="0.25">
      <c r="A19" s="4" t="s">
        <v>19</v>
      </c>
      <c r="B19" s="9">
        <f>COUNTIF(Analysis!$BG$4:$BG$603,FALSE())</f>
        <v>0</v>
      </c>
      <c r="C19" s="11">
        <f>IF(COUNTIF(Analysis!$A$4:$A$603,"&gt;0")=0,0,B19/COUNTIF(Analysis!$A$4:$A$603,"&gt;0"))</f>
        <v>0</v>
      </c>
    </row>
    <row r="20" spans="1:6" ht="14.25" customHeight="1" x14ac:dyDescent="0.25">
      <c r="A20" s="4" t="s">
        <v>20</v>
      </c>
      <c r="B20" s="9">
        <f>COUNTIF(Analysis!$BG$4:$BG$603,TRUE())</f>
        <v>184</v>
      </c>
      <c r="C20" s="11">
        <f>IF(COUNTIF(Analysis!$A$4:$A$603,"&gt;0")=0,0,B20/COUNTIF(Analysis!$A$4:$A$603,"&gt;0"))</f>
        <v>1</v>
      </c>
    </row>
    <row r="22" spans="1:6" ht="15" customHeight="1" x14ac:dyDescent="0.25">
      <c r="A22" s="69" t="s">
        <v>21</v>
      </c>
      <c r="B22" s="69"/>
      <c r="C22" s="69"/>
      <c r="D22" s="69"/>
      <c r="E22" s="69"/>
      <c r="F22" s="69"/>
    </row>
    <row r="23" spans="1:6" ht="14.25" customHeight="1" x14ac:dyDescent="0.25">
      <c r="A23" s="8" t="s">
        <v>21</v>
      </c>
      <c r="B23" s="8" t="s">
        <v>8</v>
      </c>
      <c r="C23" s="8" t="s">
        <v>9</v>
      </c>
    </row>
    <row r="24" spans="1:6" ht="14.25" customHeight="1" x14ac:dyDescent="0.25">
      <c r="A24" s="4" t="s">
        <v>22</v>
      </c>
      <c r="B24" s="9">
        <f>COUNTIF(Analysis!$BH$4:$BH$603,"Topography &amp; Road Engineering")</f>
        <v>11</v>
      </c>
      <c r="C24" s="11">
        <f>IF(COUNTIF(Analysis!$A$4:$A$603,"&gt;0")=0,0,B24/COUNTIF(Analysis!$A$4:$A$603,"&gt;0"))</f>
        <v>5.9782608695652176E-2</v>
      </c>
    </row>
    <row r="25" spans="1:6" ht="14.25" customHeight="1" x14ac:dyDescent="0.25">
      <c r="A25" s="4" t="s">
        <v>23</v>
      </c>
      <c r="B25" s="9">
        <f>COUNTIF(Analysis!$BH$4:$BH$603,"Inadequate Design Capacity")</f>
        <v>139</v>
      </c>
      <c r="C25" s="11">
        <f>IF(COUNTIF(Analysis!$A$4:$A$603,"&gt;0")=0,0,B25/COUNTIF(Analysis!$A$4:$A$603,"&gt;0"))</f>
        <v>0.75543478260869568</v>
      </c>
    </row>
    <row r="26" spans="1:6" ht="14.25" customHeight="1" x14ac:dyDescent="0.25">
      <c r="A26" s="4" t="s">
        <v>24</v>
      </c>
      <c r="B26" s="9">
        <f>COUNTIF(Analysis!$BH$4:$BH$603,"Absence of Drainage Network")</f>
        <v>34</v>
      </c>
      <c r="C26" s="11">
        <f>IF(COUNTIF(Analysis!$A$4:$A$603,"&gt;0")=0,0,B26/COUNTIF(Analysis!$A$4:$A$603,"&gt;0"))</f>
        <v>0.18478260869565216</v>
      </c>
    </row>
    <row r="27" spans="1:6" ht="14.25" customHeight="1" x14ac:dyDescent="0.25">
      <c r="A27" s="12" t="s">
        <v>25</v>
      </c>
      <c r="B27" s="13">
        <f>COUNTIF(Analysis!$BH$4:$BH$603,"CHECK - map manually")</f>
        <v>0</v>
      </c>
      <c r="C27" s="14">
        <f>IF(COUNTIF(Analysis!$A$4:$A$603,"&gt;0")=0,0,B27/COUNTIF(Analysis!$A$4:$A$603,"&gt;0"))</f>
        <v>0</v>
      </c>
    </row>
    <row r="29" spans="1:6" ht="15" customHeight="1" x14ac:dyDescent="0.25">
      <c r="A29" s="69" t="s">
        <v>26</v>
      </c>
      <c r="B29" s="69"/>
      <c r="C29" s="69"/>
      <c r="D29" s="69"/>
      <c r="E29" s="69"/>
      <c r="F29" s="69"/>
    </row>
    <row r="30" spans="1:6" ht="14.25" customHeight="1" x14ac:dyDescent="0.25">
      <c r="A30" s="8" t="s">
        <v>7</v>
      </c>
      <c r="B30" s="8" t="s">
        <v>8</v>
      </c>
    </row>
    <row r="31" spans="1:6" ht="14.25" customHeight="1" x14ac:dyDescent="0.25">
      <c r="A31" s="4" t="s">
        <v>27</v>
      </c>
      <c r="B31" s="15">
        <f>COUNTIF(Analysis!$I$4:$I$603,"Yes")</f>
        <v>139</v>
      </c>
    </row>
    <row r="32" spans="1:6" ht="14.25" customHeight="1" x14ac:dyDescent="0.25">
      <c r="A32" s="4" t="s">
        <v>28</v>
      </c>
      <c r="B32" s="15">
        <f>COUNTIF(Analysis!$I$4:$I$603,"No")</f>
        <v>45</v>
      </c>
    </row>
    <row r="33" spans="1:8" ht="14.25" customHeight="1" x14ac:dyDescent="0.25">
      <c r="A33" s="4" t="s">
        <v>29</v>
      </c>
      <c r="B33" s="15">
        <f>SUMPRODUCT((Analysis!$A$4:$A$603&lt;&gt;"")*(COUNTIF(Analysis!$A$4:$A$603,Analysis!$A$4:$A$603)&gt;1))</f>
        <v>0</v>
      </c>
    </row>
    <row r="34" spans="1:8" ht="14.25" customHeight="1" x14ac:dyDescent="0.25">
      <c r="A34" s="4" t="s">
        <v>30</v>
      </c>
      <c r="B34" s="15">
        <f>SUMPRODUCT((Analysis!$A$4:$A$603&lt;&gt;"")*(Analysis!$AE$4:$AE$603&gt;0)*((ISNUMBER(SEARCH("pond",(Analysis!$AN$4:$AN$603&amp;" "&amp;Analysis!$AO$4:$AO$603)))+ISNUMBER(SEARCH("retention",(Analysis!$AN$4:$AN$603&amp;" "&amp;Analysis!$AO$4:$AO$603)))+ISNUMBER(SEARCH("detention",(Analysis!$AN$4:$AN$603&amp;" "&amp;Analysis!$AO$4:$AO$603))))&gt;0))</f>
        <v>0</v>
      </c>
    </row>
    <row r="36" spans="1:8" ht="21.75" customHeight="1" x14ac:dyDescent="0.25">
      <c r="A36" s="67" t="s">
        <v>31</v>
      </c>
      <c r="B36" s="67"/>
      <c r="C36" s="67"/>
      <c r="D36" s="67"/>
      <c r="E36" s="67"/>
      <c r="F36" s="67"/>
    </row>
    <row r="37" spans="1:8" ht="15" customHeight="1" x14ac:dyDescent="0.25">
      <c r="A37" s="69" t="s">
        <v>594</v>
      </c>
      <c r="B37" s="69"/>
      <c r="C37" s="69"/>
      <c r="D37" s="69"/>
      <c r="E37" s="69"/>
      <c r="F37" s="69"/>
    </row>
    <row r="38" spans="1:8" ht="14.25" customHeight="1" x14ac:dyDescent="0.25">
      <c r="A38" s="8" t="s">
        <v>7</v>
      </c>
      <c r="B38" s="8" t="s">
        <v>32</v>
      </c>
      <c r="C38" s="8" t="s">
        <v>33</v>
      </c>
      <c r="D38" s="8" t="s">
        <v>34</v>
      </c>
    </row>
    <row r="39" spans="1:8" ht="14.25" customHeight="1" x14ac:dyDescent="0.25">
      <c r="A39" s="4" t="s">
        <v>35</v>
      </c>
      <c r="B39" s="15">
        <f>(COUNTIF(Analysis!$F$4:$F$603,"Very High*")+COUNTIF(Analysis!$F$4:$F$603,"High*"))</f>
        <v>149</v>
      </c>
      <c r="C39" s="15">
        <f>(COUNTIF(Analysis!$F$4:$F$603,"Medium*")+COUNTIF(Analysis!$F$4:$F$603,"Low*"))</f>
        <v>35</v>
      </c>
      <c r="D39" s="9">
        <f>COUNTIF(Analysis!$A$4:$A$603,"&gt;0")</f>
        <v>184</v>
      </c>
    </row>
    <row r="40" spans="1:8" ht="14.25" customHeight="1" x14ac:dyDescent="0.25">
      <c r="A40" s="4" t="s">
        <v>36</v>
      </c>
      <c r="B40" s="15">
        <f>(SUMIFS(Analysis!$L$4:$L$603,Analysis!$F$4:$F$603,"Very High*")+SUMIFS(Analysis!$L$4:$L$603,Analysis!$F$4:$F$603,"High*"))</f>
        <v>0</v>
      </c>
      <c r="C40" s="15">
        <f>(SUMIFS(Analysis!$L$4:$L$603,Analysis!$F$4:$F$603,"Medium*")+SUMIFS(Analysis!$L$4:$L$603,Analysis!$F$4:$F$603,"Low*"))</f>
        <v>0</v>
      </c>
      <c r="D40" s="9">
        <f>SUM(Analysis!$L$4:$L$603)</f>
        <v>0</v>
      </c>
    </row>
    <row r="41" spans="1:8" ht="14.25" customHeight="1" x14ac:dyDescent="0.25">
      <c r="A41" s="4" t="s">
        <v>37</v>
      </c>
      <c r="B41" s="15">
        <f>(SUMIFS(Analysis!$P$4:$P$603,Analysis!$F$4:$F$603,"Very High*")+SUMIFS(Analysis!$P$4:$P$603,Analysis!$F$4:$F$603,"High*"))</f>
        <v>35</v>
      </c>
      <c r="C41" s="15">
        <f>(SUMIFS(Analysis!$P$4:$P$603,Analysis!$F$4:$F$603,"Medium*")+SUMIFS(Analysis!$P$4:$P$603,Analysis!$F$4:$F$603,"Low*"))</f>
        <v>12</v>
      </c>
      <c r="D41" s="9">
        <f>SUM(Analysis!$P$4:$P$603)</f>
        <v>47</v>
      </c>
      <c r="E41" s="56">
        <f>D41+D43</f>
        <v>56</v>
      </c>
      <c r="F41" s="17"/>
      <c r="G41" s="17"/>
      <c r="H41" s="17"/>
    </row>
    <row r="42" spans="1:8" ht="14.25" customHeight="1" x14ac:dyDescent="0.25">
      <c r="A42" s="4" t="s">
        <v>38</v>
      </c>
      <c r="B42" s="18">
        <f>(SUMIFS(Analysis!$AA$4:$AA$603,Analysis!$F$4:$F$603,"Very High*")+SUMIFS(Analysis!$AA$4:$AA$603,Analysis!$F$4:$F$603,"High*"))</f>
        <v>138</v>
      </c>
      <c r="C42" s="18">
        <f>(SUMIFS(Analysis!$AA$4:$AA$603,Analysis!$F$4:$F$603,"Medium*")+SUMIFS(Analysis!$AA$4:$AA$603,Analysis!$F$4:$F$603,"Low*"))</f>
        <v>32</v>
      </c>
      <c r="D42" s="9">
        <f>SUM(Analysis!$AA$4:$AA$603)</f>
        <v>170</v>
      </c>
      <c r="E42" s="57">
        <f>D42+D44</f>
        <v>190</v>
      </c>
      <c r="F42" s="17"/>
      <c r="G42" s="17"/>
      <c r="H42" s="17"/>
    </row>
    <row r="43" spans="1:8" ht="14.25" customHeight="1" x14ac:dyDescent="0.25">
      <c r="A43" s="19" t="s">
        <v>39</v>
      </c>
      <c r="B43" s="70">
        <v>9</v>
      </c>
      <c r="C43" s="70"/>
      <c r="D43" s="20">
        <v>9</v>
      </c>
      <c r="E43" s="17"/>
      <c r="F43" s="17"/>
      <c r="G43" s="17"/>
      <c r="H43" s="17"/>
    </row>
    <row r="44" spans="1:8" ht="14.25" customHeight="1" x14ac:dyDescent="0.25">
      <c r="A44" s="19" t="s">
        <v>40</v>
      </c>
      <c r="B44" s="71">
        <v>20</v>
      </c>
      <c r="C44" s="71"/>
      <c r="D44" s="20">
        <v>20</v>
      </c>
      <c r="E44" s="17"/>
      <c r="F44" s="17"/>
      <c r="G44" s="17"/>
      <c r="H44" s="17"/>
    </row>
    <row r="45" spans="1:8" ht="14.25" customHeight="1" x14ac:dyDescent="0.25">
      <c r="A45" s="4" t="s">
        <v>41</v>
      </c>
      <c r="B45" s="21">
        <f>(SUMIFS(Analysis!$O$4:$O$603,Analysis!$F$4:$F$603,"Very High*")+SUMIFS(Analysis!$O$4:$O$603,Analysis!$F$4:$F$603,"High*"))</f>
        <v>0</v>
      </c>
      <c r="C45" s="21">
        <f>(SUMIFS(Analysis!$O$4:$O$603,Analysis!$F$4:$F$603,"Medium*")+SUMIFS(Analysis!$O$4:$O$603,Analysis!$F$4:$F$603,"Low*"))</f>
        <v>0</v>
      </c>
      <c r="D45" s="9">
        <f>SUM(Analysis!$O$4:$O$603)</f>
        <v>0</v>
      </c>
      <c r="E45" s="17"/>
      <c r="F45" s="17"/>
      <c r="G45" s="17"/>
      <c r="H45" s="17"/>
    </row>
    <row r="46" spans="1:8" ht="14.25" customHeight="1" x14ac:dyDescent="0.25">
      <c r="A46" s="4" t="s">
        <v>42</v>
      </c>
      <c r="B46" s="15">
        <f>(SUMIFS(Analysis!$Z$4:$Z$603,Analysis!$F$4:$F$603,"Very High*")+SUMIFS(Analysis!$Z$4:$Z$603,Analysis!$F$4:$F$603,"High*"))</f>
        <v>175000</v>
      </c>
      <c r="C46" s="15">
        <f>(SUMIFS(Analysis!$Z$4:$Z$603,Analysis!$F$4:$F$603,"Medium*")+SUMIFS(Analysis!$Z$4:$Z$603,Analysis!$F$4:$F$603,"Low*"))</f>
        <v>60000</v>
      </c>
      <c r="D46" s="9">
        <f>SUM(Analysis!$Z$4:$Z$603)</f>
        <v>235000</v>
      </c>
      <c r="E46" s="17"/>
      <c r="F46" s="17"/>
      <c r="G46" s="17"/>
      <c r="H46" s="17"/>
    </row>
    <row r="47" spans="1:8" ht="14.25" customHeight="1" x14ac:dyDescent="0.25">
      <c r="A47" s="4" t="s">
        <v>43</v>
      </c>
      <c r="B47" s="15">
        <f>(SUMIFS(Analysis!$AB$4:$AB$603,Analysis!$F$4:$F$603,"Very High*")+SUMIFS(Analysis!$AB$4:$AB$603,Analysis!$F$4:$F$603,"High*"))</f>
        <v>690000</v>
      </c>
      <c r="C47" s="15">
        <f>(SUMIFS(Analysis!$AB$4:$AB$603,Analysis!$F$4:$F$603,"Medium*")+SUMIFS(Analysis!$AB$4:$AB$603,Analysis!$F$4:$F$603,"Low*"))</f>
        <v>160000</v>
      </c>
      <c r="D47" s="9">
        <f>SUM(Analysis!$AB$4:$AB$603)</f>
        <v>850000</v>
      </c>
      <c r="E47" s="17"/>
      <c r="F47" s="17"/>
      <c r="G47" s="17"/>
      <c r="H47" s="17"/>
    </row>
    <row r="48" spans="1:8" ht="14.25" customHeight="1" x14ac:dyDescent="0.25">
      <c r="A48" s="19" t="s">
        <v>44</v>
      </c>
      <c r="B48" s="70">
        <f>B43*5000</f>
        <v>45000</v>
      </c>
      <c r="C48" s="70"/>
      <c r="D48" s="20">
        <f>B48</f>
        <v>45000</v>
      </c>
      <c r="E48" s="16" t="s">
        <v>45</v>
      </c>
      <c r="F48" s="17"/>
      <c r="G48" s="17"/>
      <c r="H48" s="17"/>
    </row>
    <row r="49" spans="1:8" ht="14.25" customHeight="1" x14ac:dyDescent="0.25">
      <c r="A49" s="19" t="s">
        <v>46</v>
      </c>
      <c r="B49" s="71">
        <f>B44*5000</f>
        <v>100000</v>
      </c>
      <c r="C49" s="71"/>
      <c r="D49" s="20">
        <f>B49</f>
        <v>100000</v>
      </c>
      <c r="E49" s="16" t="s">
        <v>45</v>
      </c>
      <c r="F49" s="17"/>
      <c r="G49" s="17"/>
      <c r="H49" s="17"/>
    </row>
    <row r="50" spans="1:8" ht="14.25" customHeight="1" x14ac:dyDescent="0.25">
      <c r="A50" s="4" t="s">
        <v>47</v>
      </c>
      <c r="B50" s="15">
        <f>SUM(B45:B47)</f>
        <v>865000</v>
      </c>
      <c r="C50" s="15">
        <f>SUM(C45:C47)</f>
        <v>220000</v>
      </c>
      <c r="D50" s="9">
        <f>D46+D47+D48+D49</f>
        <v>1230000</v>
      </c>
      <c r="E50" s="17"/>
      <c r="F50" s="22"/>
      <c r="G50" s="17"/>
      <c r="H50" s="17"/>
    </row>
    <row r="51" spans="1:8" ht="14.25" customHeight="1" x14ac:dyDescent="0.25">
      <c r="A51" s="5"/>
      <c r="B51" s="23"/>
      <c r="C51" s="23"/>
      <c r="D51" s="24"/>
      <c r="E51" s="17"/>
      <c r="F51" s="25"/>
      <c r="G51" s="17"/>
      <c r="H51" s="17"/>
    </row>
    <row r="52" spans="1:8" ht="15" customHeight="1" x14ac:dyDescent="0.25">
      <c r="A52" s="69" t="s">
        <v>595</v>
      </c>
      <c r="B52" s="69"/>
      <c r="C52" s="69"/>
      <c r="D52" s="69"/>
      <c r="E52" s="69"/>
      <c r="F52" s="69"/>
    </row>
    <row r="53" spans="1:8" ht="14.25" customHeight="1" x14ac:dyDescent="0.25">
      <c r="A53" s="26" t="s">
        <v>7</v>
      </c>
      <c r="B53" s="27"/>
      <c r="C53" s="28"/>
      <c r="D53" s="8" t="s">
        <v>34</v>
      </c>
    </row>
    <row r="54" spans="1:8" ht="14.25" customHeight="1" x14ac:dyDescent="0.25">
      <c r="A54" s="19" t="s">
        <v>41</v>
      </c>
      <c r="B54" s="29"/>
      <c r="C54" s="30"/>
      <c r="D54" s="9"/>
    </row>
    <row r="55" spans="1:8" ht="14.25" customHeight="1" x14ac:dyDescent="0.25">
      <c r="A55" s="19" t="s">
        <v>42</v>
      </c>
      <c r="B55" s="29"/>
      <c r="C55" s="30"/>
      <c r="D55" s="9">
        <f>(D46+D48)*10</f>
        <v>2800000</v>
      </c>
    </row>
    <row r="56" spans="1:8" ht="14.25" customHeight="1" x14ac:dyDescent="0.25">
      <c r="A56" s="19" t="s">
        <v>43</v>
      </c>
      <c r="B56" s="29"/>
      <c r="C56" s="30"/>
      <c r="D56" s="9">
        <f>(D47+D49)*10</f>
        <v>9500000</v>
      </c>
    </row>
    <row r="57" spans="1:8" ht="14.25" customHeight="1" x14ac:dyDescent="0.25">
      <c r="A57" s="19" t="s">
        <v>48</v>
      </c>
      <c r="B57" s="29"/>
      <c r="C57" s="30"/>
      <c r="D57" s="9">
        <f>SUM(D54:D56)</f>
        <v>12300000</v>
      </c>
    </row>
    <row r="59" spans="1:8" ht="15" customHeight="1" x14ac:dyDescent="0.25">
      <c r="A59" s="69" t="s">
        <v>49</v>
      </c>
      <c r="B59" s="69"/>
      <c r="C59" s="69"/>
      <c r="D59" s="69"/>
      <c r="E59" s="69"/>
      <c r="F59" s="69"/>
    </row>
    <row r="60" spans="1:8" ht="14.25" customHeight="1" x14ac:dyDescent="0.25">
      <c r="A60" s="8" t="s">
        <v>7</v>
      </c>
      <c r="B60" s="8" t="s">
        <v>32</v>
      </c>
      <c r="C60" s="8" t="s">
        <v>33</v>
      </c>
      <c r="D60" s="8" t="s">
        <v>34</v>
      </c>
    </row>
    <row r="61" spans="1:8" ht="14.25" customHeight="1" x14ac:dyDescent="0.25">
      <c r="A61" s="4" t="s">
        <v>50</v>
      </c>
      <c r="B61" s="15">
        <f>(COUNTIFS(Analysis!$F$4:$F$603,"Very High*",Analysis!$BG$4:$BG$603,TRUE())+COUNTIFS(Analysis!$F$4:$F$603,"High*",Analysis!$BG$4:$BG$603,TRUE()))</f>
        <v>149</v>
      </c>
      <c r="C61" s="15">
        <f>(COUNTIFS(Analysis!$F$4:$F$603,"Medium*",Analysis!$BG$4:$BG$603,TRUE())+COUNTIFS(Analysis!$F$4:$F$603,"Low*",Analysis!$BG$4:$BG$603,TRUE()))</f>
        <v>35</v>
      </c>
      <c r="D61" s="9">
        <f>COUNTIF(Analysis!$BG$4:$BG$603,TRUE())</f>
        <v>184</v>
      </c>
    </row>
    <row r="62" spans="1:8" ht="14.25" customHeight="1" x14ac:dyDescent="0.25">
      <c r="A62" s="4" t="s">
        <v>51</v>
      </c>
      <c r="B62" s="15">
        <f>((SUMIFS(Analysis!$O$4:$O$603,Analysis!$F$4:$F$603,"Very High*",Analysis!$BG$4:$BG$603,TRUE())+SUMIFS(Analysis!$O$4:$O$603,Analysis!$F$4:$F$603,"High*",Analysis!$BG$4:$BG$603,TRUE()))+(SUMIFS(Analysis!$Z$4:$Z$603,Analysis!$F$4:$F$603,"Very High*",Analysis!$BG$4:$BG$603,TRUE())+SUMIFS(Analysis!$Z$4:$Z$603,Analysis!$F$4:$F$603,"High*",Analysis!$BG$4:$BG$603,TRUE()))+(SUMIFS(Analysis!$AB$4:$AB$603,Analysis!$F$4:$F$603,"Very High*",Analysis!$BG$4:$BG$603,TRUE())+SUMIFS(Analysis!$AB$4:$AB$603,Analysis!$F$4:$F$603,"High*",Analysis!$BG$4:$BG$603,TRUE())))</f>
        <v>865000</v>
      </c>
      <c r="C62" s="15">
        <f>((SUMIFS(Analysis!$O$4:$O$603,Analysis!$F$4:$F$603,"Medium*",Analysis!$BG$4:$BG$603,TRUE())+SUMIFS(Analysis!$O$4:$O$603,Analysis!$F$4:$F$603,"Low*",Analysis!$BG$4:$BG$603,TRUE()))+(SUMIFS(Analysis!$Z$4:$Z$603,Analysis!$F$4:$F$603,"Medium*",Analysis!$BG$4:$BG$603,TRUE())+SUMIFS(Analysis!$Z$4:$Z$603,Analysis!$F$4:$F$603,"Low*",Analysis!$BG$4:$BG$603,TRUE()))+(SUMIFS(Analysis!$AB$4:$AB$603,Analysis!$F$4:$F$603,"Medium*",Analysis!$BG$4:$BG$603,TRUE())+SUMIFS(Analysis!$AB$4:$AB$603,Analysis!$F$4:$F$603,"Low*",Analysis!$BG$4:$BG$603,TRUE())))</f>
        <v>220000</v>
      </c>
      <c r="D62" s="9">
        <f>(SUMIFS(Analysis!$O$4:$O$603,Analysis!$BG$4:$BG$603,TRUE())+SUMIFS(Analysis!$Z$4:$Z$603,Analysis!$BG$4:$BG$603,TRUE())+SUMIFS(Analysis!$AB$4:$AB$603,Analysis!$BG$4:$BG$603,TRUE()))</f>
        <v>1085000</v>
      </c>
    </row>
    <row r="64" spans="1:8" ht="21.75" customHeight="1" x14ac:dyDescent="0.25">
      <c r="A64" s="67" t="s">
        <v>52</v>
      </c>
      <c r="B64" s="67"/>
      <c r="C64" s="67"/>
      <c r="D64" s="67"/>
      <c r="E64" s="67"/>
      <c r="F64" s="67"/>
    </row>
    <row r="65" spans="1:6" ht="15" customHeight="1" x14ac:dyDescent="0.25">
      <c r="A65" s="69" t="s">
        <v>53</v>
      </c>
      <c r="B65" s="69"/>
      <c r="C65" s="69"/>
      <c r="D65" s="69"/>
      <c r="E65" s="69"/>
      <c r="F65" s="69"/>
    </row>
    <row r="66" spans="1:6" ht="14.25" customHeight="1" x14ac:dyDescent="0.25">
      <c r="A66" s="8" t="s">
        <v>7</v>
      </c>
      <c r="B66" s="8" t="s">
        <v>32</v>
      </c>
      <c r="C66" s="8" t="s">
        <v>33</v>
      </c>
      <c r="D66" s="8" t="s">
        <v>34</v>
      </c>
    </row>
    <row r="67" spans="1:6" ht="14.25" customHeight="1" x14ac:dyDescent="0.25">
      <c r="A67" s="4" t="s">
        <v>54</v>
      </c>
      <c r="B67" s="15">
        <f>(COUNTIFS(Analysis!$BI$4:$BI$603,TRUE(),Analysis!$F$4:$F$603,"Very High*")+COUNTIFS(Analysis!$BI$4:$BI$603,TRUE(),Analysis!$F$4:$F$603,"High*"))</f>
        <v>0</v>
      </c>
      <c r="C67" s="15">
        <f>(COUNTIFS(Analysis!$BI$4:$BI$603,TRUE(),Analysis!$F$4:$F$603,"Medium*")+COUNTIFS(Analysis!$BI$4:$BI$603,TRUE(),Analysis!$F$4:$F$603,"Low*"))</f>
        <v>0</v>
      </c>
      <c r="D67" s="9">
        <f>COUNTIF(Analysis!$BI$4:$BI$603,TRUE())</f>
        <v>0</v>
      </c>
    </row>
    <row r="68" spans="1:6" ht="14.25" customHeight="1" x14ac:dyDescent="0.25">
      <c r="A68" s="4" t="s">
        <v>55</v>
      </c>
      <c r="B68" s="15">
        <f>(SUMIFS(Analysis!$AR$4:$AR$603,Analysis!$F$4:$F$603,"Very High*")+SUMIFS(Analysis!$AR$4:$AR$603,Analysis!$F$4:$F$603,"High*"))</f>
        <v>0</v>
      </c>
      <c r="C68" s="15">
        <f>(SUMIFS(Analysis!$AR$4:$AR$603,Analysis!$F$4:$F$603,"Medium*")+SUMIFS(Analysis!$AR$4:$AR$603,Analysis!$F$4:$F$603,"Low*"))</f>
        <v>0</v>
      </c>
      <c r="D68" s="9">
        <f>SUM(Analysis!$AR$4:$AR$603)</f>
        <v>0</v>
      </c>
    </row>
    <row r="70" spans="1:6" ht="15" customHeight="1" x14ac:dyDescent="0.25">
      <c r="A70" s="69" t="s">
        <v>56</v>
      </c>
      <c r="B70" s="69"/>
      <c r="C70" s="69"/>
      <c r="D70" s="69"/>
      <c r="E70" s="69"/>
      <c r="F70" s="69"/>
    </row>
    <row r="71" spans="1:6" ht="14.25" customHeight="1" x14ac:dyDescent="0.25">
      <c r="A71" s="8" t="s">
        <v>7</v>
      </c>
      <c r="B71" s="8" t="s">
        <v>32</v>
      </c>
      <c r="C71" s="8" t="s">
        <v>33</v>
      </c>
      <c r="D71" s="8" t="s">
        <v>34</v>
      </c>
    </row>
    <row r="72" spans="1:6" ht="14.25" customHeight="1" x14ac:dyDescent="0.25">
      <c r="A72" s="4" t="s">
        <v>57</v>
      </c>
      <c r="B72" s="15">
        <f>(COUNTIFS(Analysis!$BI$4:$BI$603,TRUE(),Analysis!$BG$4:$BG$603,TRUE(),Analysis!$F$4:$F$603,"Very High*")+COUNTIFS(Analysis!$BI$4:$BI$603,TRUE(),Analysis!$BG$4:$BG$603,TRUE(),Analysis!$F$4:$F$603,"High*"))</f>
        <v>0</v>
      </c>
      <c r="C72" s="15">
        <f>(COUNTIFS(Analysis!$BI$4:$BI$603,TRUE(),Analysis!$BG$4:$BG$603,TRUE(),Analysis!$F$4:$F$603,"Medium*")+COUNTIFS(Analysis!$BI$4:$BI$603,TRUE(),Analysis!$BG$4:$BG$603,TRUE(),Analysis!$F$4:$F$603,"Low*"))</f>
        <v>0</v>
      </c>
      <c r="D72" s="9">
        <f>COUNTIFS(Analysis!$BI$4:$BI$603,TRUE(),Analysis!$BG$4:$BG$603,TRUE())</f>
        <v>0</v>
      </c>
    </row>
    <row r="73" spans="1:6" ht="14.25" customHeight="1" x14ac:dyDescent="0.25">
      <c r="A73" s="4" t="s">
        <v>58</v>
      </c>
      <c r="B73" s="15">
        <f>(SUMIFS(Analysis!$AR$4:$AR$603,Analysis!$BG$4:$BG$603,TRUE(),Analysis!$F$4:$F$603,"Very High*")+SUMIFS(Analysis!$AR$4:$AR$603,Analysis!$BG$4:$BG$603,TRUE(),Analysis!$F$4:$F$603,"High*"))</f>
        <v>0</v>
      </c>
      <c r="C73" s="15">
        <f>(SUMIFS(Analysis!$AR$4:$AR$603,Analysis!$BG$4:$BG$603,TRUE(),Analysis!$F$4:$F$603,"Medium*")+SUMIFS(Analysis!$AR$4:$AR$603,Analysis!$BG$4:$BG$603,TRUE(),Analysis!$F$4:$F$603,"Low*"))</f>
        <v>0</v>
      </c>
      <c r="D73" s="9">
        <f>SUMIFS(Analysis!$AR$4:$AR$603,Analysis!$BG$4:$BG$603,TRUE())</f>
        <v>0</v>
      </c>
    </row>
    <row r="75" spans="1:6" ht="21.75" hidden="1" customHeight="1" x14ac:dyDescent="0.25">
      <c r="A75" s="67" t="s">
        <v>59</v>
      </c>
      <c r="B75" s="67"/>
      <c r="C75" s="67"/>
      <c r="D75" s="67"/>
      <c r="E75" s="67"/>
      <c r="F75" s="67"/>
    </row>
    <row r="76" spans="1:6" ht="15" hidden="1" customHeight="1" x14ac:dyDescent="0.25">
      <c r="A76" s="72" t="s">
        <v>1</v>
      </c>
      <c r="B76" s="73" t="s">
        <v>60</v>
      </c>
      <c r="C76" s="73"/>
      <c r="D76" s="73" t="s">
        <v>61</v>
      </c>
      <c r="E76" s="73"/>
      <c r="F76" s="74" t="s">
        <v>62</v>
      </c>
    </row>
    <row r="77" spans="1:6" ht="14.25" hidden="1" customHeight="1" x14ac:dyDescent="0.25">
      <c r="A77" s="72"/>
      <c r="B77" s="8" t="s">
        <v>32</v>
      </c>
      <c r="C77" s="8" t="s">
        <v>33</v>
      </c>
      <c r="D77" s="8" t="s">
        <v>32</v>
      </c>
      <c r="E77" s="8" t="s">
        <v>33</v>
      </c>
      <c r="F77" s="74"/>
    </row>
    <row r="78" spans="1:6" ht="57.75" hidden="1" customHeight="1" x14ac:dyDescent="0.25">
      <c r="A78" s="31" t="s">
        <v>63</v>
      </c>
      <c r="B78" s="1" t="str">
        <f>N((COUNTIFS(Analysis!$BI$4:$BI$603,TRUE(),Analysis!$F$4:$F$603,"Very High*")+COUNTIFS(Analysis!$BI$4:$BI$603,TRUE(),Analysis!$F$4:$F$603,"High*")))&amp;" hotspots"&amp;CHAR(10)&amp;"AED "&amp;TEXT(((SUMIFS(Analysis!$AR$4:$AR$603,Analysis!$F$4:$F$603,"Very High*")+SUMIFS(Analysis!$AR$4:$AR$603,Analysis!$F$4:$F$603,"High*")))/1000000,"#,##0.0")&amp;" m"&amp;CHAR(10)&amp;CHAR(10)&amp;"("&amp;N((COUNTIFS(Analysis!$BI$4:$BI$603,TRUE(),Analysis!$BG$4:$BG$603,TRUE(),Analysis!$F$4:$F$603,"Very High*")+COUNTIFS(Analysis!$BI$4:$BI$603,TRUE(),Analysis!$BG$4:$BG$603,TRUE(),Analysis!$F$4:$F$603,"High*")))&amp;" in private dev, AED "&amp;TEXT(((SUMIFS(Analysis!$AR$4:$AR$603,Analysis!$BG$4:$BG$603,TRUE(),Analysis!$F$4:$F$603,"Very High*")+SUMIFS(Analysis!$AR$4:$AR$603,Analysis!$BG$4:$BG$603,TRUE(),Analysis!$F$4:$F$603,"High*")))/1000000,"#,##0.0")&amp;" m)"</f>
        <v>0 hotspots
AED 0.0 m
(0 in private dev, AED 0.0 m)</v>
      </c>
      <c r="C78" s="1" t="str">
        <f>N((COUNTIFS(Analysis!$BI$4:$BI$603,TRUE(),Analysis!$F$4:$F$603,"Medium*")+COUNTIFS(Analysis!$BI$4:$BI$603,TRUE(),Analysis!$F$4:$F$603,"Low*")))&amp;" hotspots"&amp;CHAR(10)&amp;"AED "&amp;TEXT(((SUMIFS(Analysis!$AR$4:$AR$603,Analysis!$F$4:$F$603,"Medium*")+SUMIFS(Analysis!$AR$4:$AR$603,Analysis!$F$4:$F$603,"Low*")))/1000000,"#,##0.0")&amp;" m"&amp;CHAR(10)&amp;CHAR(10)&amp;"("&amp;N((COUNTIFS(Analysis!$BI$4:$BI$603,TRUE(),Analysis!$BG$4:$BG$603,TRUE(),Analysis!$F$4:$F$603,"Medium*")+COUNTIFS(Analysis!$BI$4:$BI$603,TRUE(),Analysis!$BG$4:$BG$603,TRUE(),Analysis!$F$4:$F$603,"Low*")))&amp;" in private dev, AED "&amp;TEXT(((SUMIFS(Analysis!$AR$4:$AR$603,Analysis!$BG$4:$BG$603,TRUE(),Analysis!$F$4:$F$603,"Medium*")+SUMIFS(Analysis!$AR$4:$AR$603,Analysis!$BG$4:$BG$603,TRUE(),Analysis!$F$4:$F$603,"Low*")))/1000000,"#,##0.0")&amp;" m)"</f>
        <v>0 hotspots
AED 0.0 m
(0 in private dev, AED 0.0 m)</v>
      </c>
      <c r="D78" s="1" t="str">
        <f>N((COUNTIF(Analysis!$F$4:$F$603,"Very High*")+COUNTIF(Analysis!$F$4:$F$603,"High*")))&amp;" hotspots"&amp;CHAR(10)&amp;"AED "&amp;TEXT((((SUMIFS(Analysis!$O$4:$O$603,Analysis!$F$4:$F$603,"Very High*")+SUMIFS(Analysis!$O$4:$O$603,Analysis!$F$4:$F$603,"High*"))+(SUMIFS(Analysis!$Z$4:$Z$603,Analysis!$F$4:$F$603,"Very High*")+SUMIFS(Analysis!$Z$4:$Z$603,Analysis!$F$4:$F$603,"High*"))+(SUMIFS(Analysis!$AB$4:$AB$603,Analysis!$F$4:$F$603,"Very High*")+SUMIFS(Analysis!$AB$4:$AB$603,Analysis!$F$4:$F$603,"High*"))))/1000000,"#,##0.0")&amp;" m"&amp;CHAR(10)&amp;CHAR(10)&amp;"("&amp;N((COUNTIFS(Analysis!$BG$4:$BG$603,TRUE(),Analysis!$F$4:$F$603,"Very High*")+COUNTIFS(Analysis!$BG$4:$BG$603,TRUE(),Analysis!$F$4:$F$603,"High*")))&amp;" in private dev, AED "&amp;TEXT((((SUMIFS(Analysis!$O$4:$O$603,Analysis!$BG$4:$BG$603,TRUE(),Analysis!$F$4:$F$603,"Very High*")+SUMIFS(Analysis!$O$4:$O$603,Analysis!$BG$4:$BG$603,TRUE(),Analysis!$F$4:$F$603,"High*"))+(SUMIFS(Analysis!$Z$4:$Z$603,Analysis!$BG$4:$BG$603,TRUE(),Analysis!$F$4:$F$603,"Very High*")+SUMIFS(Analysis!$Z$4:$Z$603,Analysis!$BG$4:$BG$603,TRUE(),Analysis!$F$4:$F$603,"High*"))+(SUMIFS(Analysis!$AB$4:$AB$603,Analysis!$BG$4:$BG$603,TRUE(),Analysis!$F$4:$F$603,"Very High*")+SUMIFS(Analysis!$AB$4:$AB$603,Analysis!$BG$4:$BG$603,TRUE(),Analysis!$F$4:$F$603,"High*"))))/1000000,"#,##0.0")&amp;" m)"</f>
        <v>149 hotspots
AED 0.9 m
(149 in private dev, AED 0.9 m)</v>
      </c>
      <c r="E78" s="1" t="str">
        <f>N((COUNTIF(Analysis!$F$4:$F$603,"Medium*")+COUNTIF(Analysis!$F$4:$F$603,"Low*")))&amp;" hotspots"&amp;CHAR(10)&amp;"AED "&amp;TEXT((((SUMIFS(Analysis!$O$4:$O$603,Analysis!$F$4:$F$603,"Medium*")+SUMIFS(Analysis!$O$4:$O$603,Analysis!$F$4:$F$603,"Low*"))+(SUMIFS(Analysis!$Z$4:$Z$603,Analysis!$F$4:$F$603,"Medium*")+SUMIFS(Analysis!$Z$4:$Z$603,Analysis!$F$4:$F$603,"Low*"))+(SUMIFS(Analysis!$AB$4:$AB$603,Analysis!$F$4:$F$603,"Medium*")+SUMIFS(Analysis!$AB$4:$AB$603,Analysis!$F$4:$F$603,"Low*"))))/1000000,"#,##0.0")&amp;" m"&amp;CHAR(10)&amp;CHAR(10)&amp;"("&amp;N((COUNTIFS(Analysis!$BG$4:$BG$603,TRUE(),Analysis!$F$4:$F$603,"Medium*")+COUNTIFS(Analysis!$BG$4:$BG$603,TRUE(),Analysis!$F$4:$F$603,"Low*")))&amp;" in private dev, AED "&amp;TEXT((((SUMIFS(Analysis!$O$4:$O$603,Analysis!$BG$4:$BG$603,TRUE(),Analysis!$F$4:$F$603,"Medium*")+SUMIFS(Analysis!$O$4:$O$603,Analysis!$BG$4:$BG$603,TRUE(),Analysis!$F$4:$F$603,"Low*"))+(SUMIFS(Analysis!$Z$4:$Z$603,Analysis!$BG$4:$BG$603,TRUE(),Analysis!$F$4:$F$603,"Medium*")+SUMIFS(Analysis!$Z$4:$Z$603,Analysis!$BG$4:$BG$603,TRUE(),Analysis!$F$4:$F$603,"Low*"))+(SUMIFS(Analysis!$AB$4:$AB$603,Analysis!$BG$4:$BG$603,TRUE(),Analysis!$F$4:$F$603,"Medium*")+SUMIFS(Analysis!$AB$4:$AB$603,Analysis!$BG$4:$BG$603,TRUE(),Analysis!$F$4:$F$603,"Low*"))))/1000000,"#,##0.0")&amp;" m)"</f>
        <v>35 hotspots
AED 0.2 m
(35 in private dev, AED 0.2 m)</v>
      </c>
      <c r="F78" s="1" t="str">
        <f>N(COUNTIF(Analysis!$BI$4:$BI$603,TRUE())+COUNTIF(Analysis!$A$4:$A$603,"&gt;0"))&amp;" hotspots"&amp;CHAR(10)&amp;"AED "&amp;TEXT((SUM(Analysis!$AR$4:$AR$603)+(SUM(Analysis!$O$4:$O$603)+SUM(Analysis!$Z$4:$Z$603)+SUM(Analysis!$AB$4:$AB$603)))/1000000,"#,##0.0")&amp;" m"&amp;CHAR(10)&amp;CHAR(10)&amp;"("&amp;N(COUNTIFS(Analysis!$BI$4:$BI$603,TRUE(),Analysis!$BG$4:$BG$603,TRUE())+COUNTIF(Analysis!$BG$4:$BG$603,TRUE()))&amp;" in private dev, AED "&amp;TEXT((SUMIFS(Analysis!$AR$4:$AR$603,Analysis!$BG$4:$BG$603,TRUE())+(SUMIFS(Analysis!$O$4:$O$603,Analysis!$BG$4:$BG$603,TRUE())+SUMIFS(Analysis!$Z$4:$Z$603,Analysis!$BG$4:$BG$603,TRUE())+SUMIFS(Analysis!$AB$4:$AB$603,Analysis!$BG$4:$BG$603,TRUE())))/1000000,"#,##0.0")&amp;" m)"</f>
        <v>184 hotspots
AED 1.1 m
(184 in private dev, AED 1.1 m)</v>
      </c>
    </row>
    <row r="79" spans="1:6" ht="57.75" hidden="1" customHeight="1" x14ac:dyDescent="0.25">
      <c r="A79" s="2" t="s">
        <v>34</v>
      </c>
      <c r="B79" s="75" t="str">
        <f>N(COUNTIF(Analysis!$BI$4:$BI$603,TRUE()))&amp;" hotspots"&amp;CHAR(10)&amp;"AED "&amp;TEXT((SUM(Analysis!$AR$4:$AR$603))/1000000,"#,##0.0")&amp;" m"&amp;CHAR(10)&amp;CHAR(10)&amp;"("&amp;N(COUNTIFS(Analysis!$BI$4:$BI$603,TRUE(),Analysis!$BG$4:$BG$603,TRUE()))&amp;" in private dev, AED "&amp;TEXT((SUMIFS(Analysis!$AR$4:$AR$603,Analysis!$BG$4:$BG$603,TRUE()))/1000000,"#,##0.0")&amp;" m)"</f>
        <v>0 hotspots
AED 0.0 m
(0 in private dev, AED 0.0 m)</v>
      </c>
      <c r="C79" s="75"/>
      <c r="D79" s="75" t="str">
        <f>N(COUNTIF(Analysis!$A$4:$A$603,"&gt;0"))&amp;" hotspots"&amp;CHAR(10)&amp;"AED "&amp;TEXT(((SUM(Analysis!$O$4:$O$603)+SUM(Analysis!$Z$4:$Z$603)+SUM(Analysis!$AB$4:$AB$603)))/1000000,"#,##0.0")&amp;" m"&amp;CHAR(10)&amp;CHAR(10)&amp;"("&amp;N(COUNTIF(Analysis!$BG$4:$BG$603,TRUE()))&amp;" in private dev, AED "&amp;TEXT(((SUMIFS(Analysis!$O$4:$O$603,Analysis!$BG$4:$BG$603,TRUE())+SUMIFS(Analysis!$Z$4:$Z$603,Analysis!$BG$4:$BG$603,TRUE())+SUMIFS(Analysis!$AB$4:$AB$603,Analysis!$BG$4:$BG$603,TRUE())))/1000000,"#,##0.0")&amp;" m)"</f>
        <v>184 hotspots
AED 1.1 m
(184 in private dev, AED 1.1 m)</v>
      </c>
      <c r="E79" s="75"/>
      <c r="F79" s="1" t="str">
        <f>N(COUNTIF(Analysis!$BI$4:$BI$603,TRUE())+COUNTIF(Analysis!$A$4:$A$603,"&gt;0"))&amp;" hotspots"&amp;CHAR(10)&amp;"AED "&amp;TEXT((SUM(Analysis!$AR$4:$AR$603)+(SUM(Analysis!$O$4:$O$603)+SUM(Analysis!$Z$4:$Z$603)+SUM(Analysis!$AB$4:$AB$603)))/1000000,"#,##0.0")&amp;" m"&amp;CHAR(10)&amp;CHAR(10)&amp;"("&amp;N(COUNTIFS(Analysis!$BI$4:$BI$603,TRUE(),Analysis!$BG$4:$BG$603,TRUE())+COUNTIF(Analysis!$BG$4:$BG$603,TRUE()))&amp;" in private dev, AED "&amp;TEXT((SUMIFS(Analysis!$AR$4:$AR$603,Analysis!$BG$4:$BG$603,TRUE())+(SUMIFS(Analysis!$O$4:$O$603,Analysis!$BG$4:$BG$603,TRUE())+SUMIFS(Analysis!$Z$4:$Z$603,Analysis!$BG$4:$BG$603,TRUE())+SUMIFS(Analysis!$AB$4:$AB$603,Analysis!$BG$4:$BG$603,TRUE())))/1000000,"#,##0.0")&amp;" m)"</f>
        <v>184 hotspots
AED 1.1 m
(184 in private dev, AED 1.1 m)</v>
      </c>
    </row>
    <row r="80" spans="1:6" hidden="1" x14ac:dyDescent="0.25"/>
    <row r="81" spans="1:9" hidden="1" x14ac:dyDescent="0.25"/>
    <row r="82" spans="1:9" ht="21.75" hidden="1" customHeight="1" x14ac:dyDescent="0.25">
      <c r="A82" s="67" t="s">
        <v>64</v>
      </c>
      <c r="B82" s="67"/>
      <c r="C82" s="67"/>
      <c r="D82" s="67"/>
      <c r="E82" s="67"/>
      <c r="F82" s="67"/>
    </row>
    <row r="83" spans="1:9" ht="15" hidden="1" customHeight="1" x14ac:dyDescent="0.25">
      <c r="A83" s="69" t="s">
        <v>65</v>
      </c>
      <c r="B83" s="69"/>
      <c r="C83" s="69"/>
      <c r="D83" s="69"/>
      <c r="E83" s="69"/>
      <c r="F83" s="69"/>
    </row>
    <row r="84" spans="1:9" ht="14.25" hidden="1" customHeight="1" x14ac:dyDescent="0.25">
      <c r="A84" s="8" t="s">
        <v>66</v>
      </c>
      <c r="B84" s="8" t="s">
        <v>8</v>
      </c>
      <c r="C84" s="8" t="s">
        <v>9</v>
      </c>
    </row>
    <row r="85" spans="1:9" ht="14.25" hidden="1" customHeight="1" x14ac:dyDescent="0.25">
      <c r="A85" s="4" t="s">
        <v>67</v>
      </c>
      <c r="B85" s="9">
        <f>COUNTIF(Analysis!$BK$4:$BK$603,"Resolved before Feb 2027")</f>
        <v>0</v>
      </c>
      <c r="C85" s="11">
        <f>IF(COUNTIF(Analysis!$A$4:$A$603,"&gt;0")=0,0,B85/COUNTIF(Analysis!$A$4:$A$603,"&gt;0"))</f>
        <v>0</v>
      </c>
    </row>
    <row r="86" spans="1:9" ht="14.25" hidden="1" customHeight="1" x14ac:dyDescent="0.25">
      <c r="A86" s="4" t="s">
        <v>68</v>
      </c>
      <c r="B86" s="9">
        <f>COUNTIF(Analysis!$BK$4:$BK$603,"Resolved after Feb 2027")</f>
        <v>0</v>
      </c>
      <c r="C86" s="11">
        <f>IF(COUNTIF(Analysis!$A$4:$A$603,"&gt;0")=0,0,B86/COUNTIF(Analysis!$A$4:$A$603,"&gt;0"))</f>
        <v>0</v>
      </c>
    </row>
    <row r="87" spans="1:9" ht="14.25" hidden="1" customHeight="1" x14ac:dyDescent="0.25">
      <c r="A87" s="4" t="s">
        <v>69</v>
      </c>
      <c r="B87" s="9">
        <f>COUNTIF(Analysis!$BK$4:$BK$603,"No specific plan")</f>
        <v>184</v>
      </c>
      <c r="C87" s="11">
        <f>IF(COUNTIF(Analysis!$A$4:$A$603,"&gt;0")=0,0,B87/COUNTIF(Analysis!$A$4:$A$603,"&gt;0"))</f>
        <v>1</v>
      </c>
    </row>
    <row r="88" spans="1:9" ht="14.25" hidden="1" customHeight="1" x14ac:dyDescent="0.25">
      <c r="A88" s="4" t="s">
        <v>70</v>
      </c>
      <c r="B88" s="9">
        <f>COUNTIF(Analysis!$BK$4:$BK$603,"CLIENT INPUT REQUIRED")</f>
        <v>0</v>
      </c>
      <c r="C88" s="11">
        <f>IF(COUNTIF(Analysis!$A$4:$A$603,"&gt;0")=0,0,B88/COUNTIF(Analysis!$A$4:$A$603,"&gt;0"))</f>
        <v>0</v>
      </c>
    </row>
    <row r="90" spans="1:9" ht="15" customHeight="1" x14ac:dyDescent="0.25">
      <c r="A90" s="69" t="s">
        <v>71</v>
      </c>
      <c r="B90" s="69"/>
      <c r="C90" s="69"/>
      <c r="D90" s="69"/>
      <c r="E90" s="69"/>
      <c r="F90" s="69"/>
      <c r="G90" s="69"/>
      <c r="H90" s="69"/>
    </row>
    <row r="91" spans="1:9" ht="23.25" customHeight="1" x14ac:dyDescent="0.25">
      <c r="A91" s="8" t="s">
        <v>72</v>
      </c>
      <c r="B91" s="8" t="s">
        <v>73</v>
      </c>
      <c r="C91" s="8" t="s">
        <v>74</v>
      </c>
      <c r="D91" s="8" t="s">
        <v>75</v>
      </c>
      <c r="E91" s="8" t="s">
        <v>76</v>
      </c>
      <c r="F91" s="8" t="s">
        <v>77</v>
      </c>
      <c r="G91" s="8" t="s">
        <v>78</v>
      </c>
      <c r="H91" s="8" t="s">
        <v>79</v>
      </c>
      <c r="I91" s="8" t="s">
        <v>80</v>
      </c>
    </row>
    <row r="92" spans="1:9" ht="14.25" customHeight="1" x14ac:dyDescent="0.25">
      <c r="A92" s="32">
        <f>IF(Analysis!A4="","",Analysis!A4)</f>
        <v>1</v>
      </c>
      <c r="B92" s="33" t="str">
        <f>IF(Analysis!A4="","",Analysis!B4)</f>
        <v>Al Aamerah &amp; Al Sad  &amp; Al Salamat</v>
      </c>
      <c r="C92" s="33" t="str">
        <f>IF(Analysis!A4="","",Analysis!C4)</f>
        <v>Al Rifaa, Al Aamerah</v>
      </c>
      <c r="D92" s="33" t="str">
        <f>IF(Analysis!A4="","",Analysis!F4)</f>
        <v>Very High</v>
      </c>
      <c r="E92" s="33" t="b">
        <f>IF(Analysis!A4="","",Analysis!BG4)</f>
        <v>1</v>
      </c>
      <c r="F92" s="33" t="str">
        <f>IF(Analysis!A4="","",Analysis!AN4)</f>
        <v>Based on future design</v>
      </c>
      <c r="G92" s="33" t="str">
        <f>IF(Analysis!A4="","",Analysis!BA4)</f>
        <v>future project</v>
      </c>
      <c r="H92" s="34" t="str">
        <f>IF(Analysis!A4="","",Analysis!BJ4)</f>
        <v>CLIENT INPUT REQUIRED</v>
      </c>
      <c r="I92" s="33" t="str">
        <f>IF(Analysis!A4="","",Analysis!BK4)</f>
        <v>No specific plan</v>
      </c>
    </row>
    <row r="93" spans="1:9" ht="14.25" customHeight="1" x14ac:dyDescent="0.25">
      <c r="A93" s="32">
        <f>IF(Analysis!A5="","",Analysis!A5)</f>
        <v>2</v>
      </c>
      <c r="B93" s="33" t="str">
        <f>IF(Analysis!A5="","",Analysis!B5)</f>
        <v>Al Aamerah &amp; Al Sad  &amp; Al Salamat</v>
      </c>
      <c r="C93" s="33" t="str">
        <f>IF(Analysis!A5="","",Analysis!C5)</f>
        <v>34 Ramlat Al Khadar St, Al Aamerah - Al Samar</v>
      </c>
      <c r="D93" s="33" t="str">
        <f>IF(Analysis!A5="","",Analysis!F5)</f>
        <v>Very High</v>
      </c>
      <c r="E93" s="33" t="b">
        <f>IF(Analysis!A5="","",Analysis!BG5)</f>
        <v>1</v>
      </c>
      <c r="F93" s="33" t="str">
        <f>IF(Analysis!A5="","",Analysis!AN5)</f>
        <v>Upgrade Network</v>
      </c>
      <c r="G93" s="33" t="str">
        <f>IF(Analysis!A5="","",Analysis!BA5)</f>
        <v>Design phase</v>
      </c>
      <c r="H93" s="34">
        <f>IF(Analysis!A5="","",Analysis!BJ5)</f>
        <v>46722</v>
      </c>
      <c r="I93" s="33" t="str">
        <f>IF(Analysis!A5="","",Analysis!BK5)</f>
        <v>No specific plan</v>
      </c>
    </row>
    <row r="94" spans="1:9" ht="14.25" customHeight="1" x14ac:dyDescent="0.25">
      <c r="A94" s="32">
        <f>IF(Analysis!A6="","",Analysis!A6)</f>
        <v>3</v>
      </c>
      <c r="B94" s="33" t="str">
        <f>IF(Analysis!A6="","",Analysis!B6)</f>
        <v>Al Aamerah &amp; Al Sad  &amp; Al Salamat</v>
      </c>
      <c r="C94" s="33" t="str">
        <f>IF(Analysis!A6="","",Analysis!C6)</f>
        <v>Al Samar, Al Aamerah</v>
      </c>
      <c r="D94" s="33" t="str">
        <f>IF(Analysis!A6="","",Analysis!F6)</f>
        <v>Very High</v>
      </c>
      <c r="E94" s="33" t="b">
        <f>IF(Analysis!A6="","",Analysis!BG6)</f>
        <v>1</v>
      </c>
      <c r="F94" s="33" t="str">
        <f>IF(Analysis!A6="","",Analysis!AN6)</f>
        <v>Upgrade Network</v>
      </c>
      <c r="G94" s="33" t="str">
        <f>IF(Analysis!A6="","",Analysis!BA6)</f>
        <v>Design phase</v>
      </c>
      <c r="H94" s="34">
        <f>IF(Analysis!A6="","",Analysis!BJ6)</f>
        <v>46722</v>
      </c>
      <c r="I94" s="33" t="str">
        <f>IF(Analysis!A6="","",Analysis!BK6)</f>
        <v>No specific plan</v>
      </c>
    </row>
    <row r="95" spans="1:9" ht="14.25" customHeight="1" x14ac:dyDescent="0.25">
      <c r="A95" s="32">
        <f>IF(Analysis!A7="","",Analysis!A7)</f>
        <v>4</v>
      </c>
      <c r="B95" s="33" t="str">
        <f>IF(Analysis!A7="","",Analysis!B7)</f>
        <v>Al Aamerah &amp; Al Sad  &amp; Al Salamat</v>
      </c>
      <c r="C95" s="33" t="str">
        <f>IF(Analysis!A7="","",Analysis!C7)</f>
        <v>Wadi Al Fayah St, Al Sad - Ramlat Al Saad</v>
      </c>
      <c r="D95" s="33" t="str">
        <f>IF(Analysis!A7="","",Analysis!F7)</f>
        <v>Very High</v>
      </c>
      <c r="E95" s="33" t="b">
        <f>IF(Analysis!A7="","",Analysis!BG7)</f>
        <v>1</v>
      </c>
      <c r="F95" s="33" t="str">
        <f>IF(Analysis!A7="","",Analysis!AN7)</f>
        <v>Based on future design</v>
      </c>
      <c r="G95" s="33" t="str">
        <f>IF(Analysis!A7="","",Analysis!BA7)</f>
        <v>future project</v>
      </c>
      <c r="H95" s="34" t="str">
        <f>IF(Analysis!A7="","",Analysis!BJ7)</f>
        <v>CLIENT INPUT REQUIRED</v>
      </c>
      <c r="I95" s="33" t="str">
        <f>IF(Analysis!A7="","",Analysis!BK7)</f>
        <v>No specific plan</v>
      </c>
    </row>
    <row r="96" spans="1:9" ht="14.25" customHeight="1" x14ac:dyDescent="0.25">
      <c r="A96" s="32">
        <f>IF(Analysis!A8="","",Analysis!A8)</f>
        <v>5</v>
      </c>
      <c r="B96" s="33" t="str">
        <f>IF(Analysis!A8="","",Analysis!B8)</f>
        <v>Al Aamerah &amp; Al Sad  &amp; Al Salamat</v>
      </c>
      <c r="C96" s="33" t="str">
        <f>IF(Analysis!A8="","",Analysis!C8)</f>
        <v>28 An Nasr St, Al Salamat - Al Salamat 1</v>
      </c>
      <c r="D96" s="33" t="str">
        <f>IF(Analysis!A8="","",Analysis!F8)</f>
        <v>Very High</v>
      </c>
      <c r="E96" s="33" t="b">
        <f>IF(Analysis!A8="","",Analysis!BG8)</f>
        <v>1</v>
      </c>
      <c r="F96" s="33" t="str">
        <f>IF(Analysis!A8="","",Analysis!AN8)</f>
        <v>Upgrade Network</v>
      </c>
      <c r="G96" s="33" t="str">
        <f>IF(Analysis!A8="","",Analysis!BA8)</f>
        <v>Design phase</v>
      </c>
      <c r="H96" s="34">
        <f>IF(Analysis!A8="","",Analysis!BJ8)</f>
        <v>46722</v>
      </c>
      <c r="I96" s="33" t="str">
        <f>IF(Analysis!A8="","",Analysis!BK8)</f>
        <v>No specific plan</v>
      </c>
    </row>
    <row r="97" spans="1:9" ht="14.25" customHeight="1" x14ac:dyDescent="0.25">
      <c r="A97" s="32">
        <f>IF(Analysis!A9="","",Analysis!A9)</f>
        <v>6</v>
      </c>
      <c r="B97" s="33" t="str">
        <f>IF(Analysis!A9="","",Analysis!B9)</f>
        <v>Al Arad</v>
      </c>
      <c r="C97" s="33" t="str">
        <f>IF(Analysis!A9="","",Analysis!C9)</f>
        <v>Sayh Al ʹArad St, Al 'Arad - Al Arad 1</v>
      </c>
      <c r="D97" s="33" t="str">
        <f>IF(Analysis!A9="","",Analysis!F9)</f>
        <v>Medium</v>
      </c>
      <c r="E97" s="33" t="b">
        <f>IF(Analysis!A9="","",Analysis!BG9)</f>
        <v>1</v>
      </c>
      <c r="F97" s="33" t="str">
        <f>IF(Analysis!A9="","",Analysis!AN9)</f>
        <v>Based on future design</v>
      </c>
      <c r="G97" s="33" t="str">
        <f>IF(Analysis!A9="","",Analysis!BA9)</f>
        <v>future project</v>
      </c>
      <c r="H97" s="34" t="str">
        <f>IF(Analysis!A9="","",Analysis!BJ9)</f>
        <v>CLIENT INPUT REQUIRED</v>
      </c>
      <c r="I97" s="33" t="str">
        <f>IF(Analysis!A9="","",Analysis!BK9)</f>
        <v>No specific plan</v>
      </c>
    </row>
    <row r="98" spans="1:9" ht="14.25" customHeight="1" x14ac:dyDescent="0.25">
      <c r="A98" s="32">
        <f>IF(Analysis!A10="","",Analysis!A10)</f>
        <v>7</v>
      </c>
      <c r="B98" s="33" t="str">
        <f>IF(Analysis!A10="","",Analysis!B10)</f>
        <v>Al Bateen</v>
      </c>
      <c r="C98" s="33" t="str">
        <f>IF(Analysis!A10="","",Analysis!C10)</f>
        <v>Ghafat Al Shwaihi, Al Bateen</v>
      </c>
      <c r="D98" s="33" t="str">
        <f>IF(Analysis!A10="","",Analysis!F10)</f>
        <v>Medium</v>
      </c>
      <c r="E98" s="33" t="b">
        <f>IF(Analysis!A10="","",Analysis!BG10)</f>
        <v>1</v>
      </c>
      <c r="F98" s="33" t="str">
        <f>IF(Analysis!A10="","",Analysis!AN10)</f>
        <v>Upgrade Network</v>
      </c>
      <c r="G98" s="33" t="str">
        <f>IF(Analysis!A10="","",Analysis!BA10)</f>
        <v>Implementation phase</v>
      </c>
      <c r="H98" s="34">
        <f>IF(Analysis!A10="","",Analysis!BJ10)</f>
        <v>46357</v>
      </c>
      <c r="I98" s="33" t="str">
        <f>IF(Analysis!A10="","",Analysis!BK10)</f>
        <v>No specific plan</v>
      </c>
    </row>
    <row r="99" spans="1:9" ht="14.25" customHeight="1" x14ac:dyDescent="0.25">
      <c r="A99" s="32">
        <f>IF(Analysis!A11="","",Analysis!A11)</f>
        <v>8</v>
      </c>
      <c r="B99" s="33" t="str">
        <f>IF(Analysis!A11="","",Analysis!B11)</f>
        <v>Al Bateen</v>
      </c>
      <c r="C99" s="33" t="str">
        <f>IF(Analysis!A11="","",Analysis!C11)</f>
        <v>Yaw Sablah St, Al Bateen - Ghafat Al Shwaihi</v>
      </c>
      <c r="D99" s="33" t="str">
        <f>IF(Analysis!A11="","",Analysis!F11)</f>
        <v>Medium</v>
      </c>
      <c r="E99" s="33" t="b">
        <f>IF(Analysis!A11="","",Analysis!BG11)</f>
        <v>1</v>
      </c>
      <c r="F99" s="33" t="str">
        <f>IF(Analysis!A11="","",Analysis!AN11)</f>
        <v xml:space="preserve">Based on Future Design </v>
      </c>
      <c r="G99" s="33" t="str">
        <f>IF(Analysis!A11="","",Analysis!BA11)</f>
        <v>Design phase</v>
      </c>
      <c r="H99" s="34">
        <f>IF(Analysis!A11="","",Analysis!BJ11)</f>
        <v>46722</v>
      </c>
      <c r="I99" s="33" t="str">
        <f>IF(Analysis!A11="","",Analysis!BK11)</f>
        <v>No specific plan</v>
      </c>
    </row>
    <row r="100" spans="1:9" ht="14.25" customHeight="1" x14ac:dyDescent="0.25">
      <c r="A100" s="32">
        <f>IF(Analysis!A12="","",Analysis!A12)</f>
        <v>9</v>
      </c>
      <c r="B100" s="33" t="str">
        <f>IF(Analysis!A12="","",Analysis!B12)</f>
        <v>Al Bateen</v>
      </c>
      <c r="C100" s="33" t="str">
        <f>IF(Analysis!A12="","",Analysis!C12)</f>
        <v>Ghiyout Al Hidayri St, Al Bateen - Ghafat Al Shwaihi</v>
      </c>
      <c r="D100" s="33" t="str">
        <f>IF(Analysis!A12="","",Analysis!F12)</f>
        <v>Medium</v>
      </c>
      <c r="E100" s="33" t="b">
        <f>IF(Analysis!A12="","",Analysis!BG12)</f>
        <v>1</v>
      </c>
      <c r="F100" s="33" t="str">
        <f>IF(Analysis!A12="","",Analysis!AN12)</f>
        <v>Upgrade Network</v>
      </c>
      <c r="G100" s="33" t="str">
        <f>IF(Analysis!A12="","",Analysis!BA12)</f>
        <v>Implementation phase</v>
      </c>
      <c r="H100" s="34">
        <f>IF(Analysis!A12="","",Analysis!BJ12)</f>
        <v>46357</v>
      </c>
      <c r="I100" s="33" t="str">
        <f>IF(Analysis!A12="","",Analysis!BK12)</f>
        <v>No specific plan</v>
      </c>
    </row>
    <row r="101" spans="1:9" ht="14.25" customHeight="1" x14ac:dyDescent="0.25">
      <c r="A101" s="32">
        <f>IF(Analysis!A13="","",Analysis!A13)</f>
        <v>10</v>
      </c>
      <c r="B101" s="33" t="str">
        <f>IF(Analysis!A13="","",Analysis!B13)</f>
        <v>Al Dhahir &amp; Mezyad &amp; Um Ghafah</v>
      </c>
      <c r="C101" s="33" t="str">
        <f>IF(Analysis!A13="","",Analysis!C13)</f>
        <v>Zayed Bin Sultan St, Al Dhahir - Dhaher 1</v>
      </c>
      <c r="D101" s="33" t="str">
        <f>IF(Analysis!A13="","",Analysis!F13)</f>
        <v>High</v>
      </c>
      <c r="E101" s="33" t="b">
        <f>IF(Analysis!A13="","",Analysis!BG13)</f>
        <v>1</v>
      </c>
      <c r="F101" s="33" t="str">
        <f>IF(Analysis!A13="","",Analysis!AN13)</f>
        <v>Based on future design</v>
      </c>
      <c r="G101" s="33" t="str">
        <f>IF(Analysis!A13="","",Analysis!BA13)</f>
        <v>future project</v>
      </c>
      <c r="H101" s="34" t="str">
        <f>IF(Analysis!A13="","",Analysis!BJ13)</f>
        <v>CLIENT INPUT REQUIRED</v>
      </c>
      <c r="I101" s="33" t="str">
        <f>IF(Analysis!A13="","",Analysis!BK13)</f>
        <v>No specific plan</v>
      </c>
    </row>
    <row r="102" spans="1:9" ht="14.25" customHeight="1" x14ac:dyDescent="0.25">
      <c r="A102" s="32">
        <f>IF(Analysis!A14="","",Analysis!A14)</f>
        <v>11</v>
      </c>
      <c r="B102" s="33" t="str">
        <f>IF(Analysis!A14="","",Analysis!B14)</f>
        <v>Al Dhahir &amp; Mezyad &amp; Um Ghafah</v>
      </c>
      <c r="C102" s="33" t="str">
        <f>IF(Analysis!A14="","",Analysis!C14)</f>
        <v>Al Barari Mall R/A, Dhaher 3, Al Dhahir</v>
      </c>
      <c r="D102" s="33" t="str">
        <f>IF(Analysis!A14="","",Analysis!F14)</f>
        <v>High</v>
      </c>
      <c r="E102" s="33" t="b">
        <f>IF(Analysis!A14="","",Analysis!BG14)</f>
        <v>1</v>
      </c>
      <c r="F102" s="33" t="str">
        <f>IF(Analysis!A14="","",Analysis!AN14)</f>
        <v>Based on future design</v>
      </c>
      <c r="G102" s="33" t="str">
        <f>IF(Analysis!A14="","",Analysis!BA14)</f>
        <v>future project</v>
      </c>
      <c r="H102" s="34" t="str">
        <f>IF(Analysis!A14="","",Analysis!BJ14)</f>
        <v>CLIENT INPUT REQUIRED</v>
      </c>
      <c r="I102" s="33" t="str">
        <f>IF(Analysis!A14="","",Analysis!BK14)</f>
        <v>No specific plan</v>
      </c>
    </row>
    <row r="103" spans="1:9" ht="14.25" customHeight="1" x14ac:dyDescent="0.25">
      <c r="A103" s="32">
        <f>IF(Analysis!A15="","",Analysis!A15)</f>
        <v>12</v>
      </c>
      <c r="B103" s="33" t="str">
        <f>IF(Analysis!A15="","",Analysis!B15)</f>
        <v xml:space="preserve">Al Dhahir &amp; Mezyad &amp; Um Ghafah </v>
      </c>
      <c r="C103" s="33" t="str">
        <f>IF(Analysis!A15="","",Analysis!C15)</f>
        <v>Al Ain City Municipality – Customer Service Center, Mezyad</v>
      </c>
      <c r="D103" s="33" t="str">
        <f>IF(Analysis!A15="","",Analysis!F15)</f>
        <v>High</v>
      </c>
      <c r="E103" s="33" t="b">
        <f>IF(Analysis!A15="","",Analysis!BG15)</f>
        <v>1</v>
      </c>
      <c r="F103" s="33" t="str">
        <f>IF(Analysis!A15="","",Analysis!AN15)</f>
        <v>Based on future design</v>
      </c>
      <c r="G103" s="33" t="str">
        <f>IF(Analysis!A15="","",Analysis!BA15)</f>
        <v>future project</v>
      </c>
      <c r="H103" s="34" t="str">
        <f>IF(Analysis!A15="","",Analysis!BJ15)</f>
        <v>CLIENT INPUT REQUIRED</v>
      </c>
      <c r="I103" s="33" t="str">
        <f>IF(Analysis!A15="","",Analysis!BK15)</f>
        <v>No specific plan</v>
      </c>
    </row>
    <row r="104" spans="1:9" ht="14.25" customHeight="1" x14ac:dyDescent="0.25">
      <c r="A104" s="32">
        <f>IF(Analysis!A16="","",Analysis!A16)</f>
        <v>13</v>
      </c>
      <c r="B104" s="33" t="str">
        <f>IF(Analysis!A16="","",Analysis!B16)</f>
        <v>Al Dhahir &amp; Mezyad &amp; Um Ghafah</v>
      </c>
      <c r="C104" s="33" t="str">
        <f>IF(Analysis!A16="","",Analysis!C16)</f>
        <v>Zayed Bin Sultan St, Mazyad - Mazyad 2</v>
      </c>
      <c r="D104" s="33" t="str">
        <f>IF(Analysis!A16="","",Analysis!F16)</f>
        <v>High</v>
      </c>
      <c r="E104" s="33" t="b">
        <f>IF(Analysis!A16="","",Analysis!BG16)</f>
        <v>1</v>
      </c>
      <c r="F104" s="33" t="str">
        <f>IF(Analysis!A16="","",Analysis!AN16)</f>
        <v>Based on future design</v>
      </c>
      <c r="G104" s="33" t="str">
        <f>IF(Analysis!A16="","",Analysis!BA16)</f>
        <v>future project</v>
      </c>
      <c r="H104" s="34" t="str">
        <f>IF(Analysis!A16="","",Analysis!BJ16)</f>
        <v>CLIENT INPUT REQUIRED</v>
      </c>
      <c r="I104" s="33" t="str">
        <f>IF(Analysis!A16="","",Analysis!BK16)</f>
        <v>No specific plan</v>
      </c>
    </row>
    <row r="105" spans="1:9" ht="14.25" customHeight="1" x14ac:dyDescent="0.25">
      <c r="A105" s="32">
        <f>IF(Analysis!A17="","",Analysis!A17)</f>
        <v>14</v>
      </c>
      <c r="B105" s="33" t="str">
        <f>IF(Analysis!A17="","",Analysis!B17)</f>
        <v>Al Dhahir &amp; Mezyad &amp; Um Ghafah</v>
      </c>
      <c r="C105" s="33" t="str">
        <f>IF(Analysis!A17="","",Analysis!C17)</f>
        <v>Al Muraikhat, Um Ghafah</v>
      </c>
      <c r="D105" s="33" t="str">
        <f>IF(Analysis!A17="","",Analysis!F17)</f>
        <v>High</v>
      </c>
      <c r="E105" s="33" t="b">
        <f>IF(Analysis!A17="","",Analysis!BG17)</f>
        <v>1</v>
      </c>
      <c r="F105" s="33" t="str">
        <f>IF(Analysis!A17="","",Analysis!AN17)</f>
        <v>Based on future design</v>
      </c>
      <c r="G105" s="33" t="str">
        <f>IF(Analysis!A17="","",Analysis!BA17)</f>
        <v>future project</v>
      </c>
      <c r="H105" s="34" t="str">
        <f>IF(Analysis!A17="","",Analysis!BJ17)</f>
        <v>CLIENT INPUT REQUIRED</v>
      </c>
      <c r="I105" s="33" t="str">
        <f>IF(Analysis!A17="","",Analysis!BK17)</f>
        <v>No specific plan</v>
      </c>
    </row>
    <row r="106" spans="1:9" ht="14.25" customHeight="1" x14ac:dyDescent="0.25">
      <c r="A106" s="32">
        <f>IF(Analysis!A18="","",Analysis!A18)</f>
        <v>15</v>
      </c>
      <c r="B106" s="33" t="str">
        <f>IF(Analysis!A18="","",Analysis!B18)</f>
        <v>Al Faqaa</v>
      </c>
      <c r="C106" s="33" t="str">
        <f>IF(Analysis!A18="","",Analysis!C18)</f>
        <v>Al Ain - Dubai Rd, Al Faqaa</v>
      </c>
      <c r="D106" s="33" t="str">
        <f>IF(Analysis!A18="","",Analysis!F18)</f>
        <v>High</v>
      </c>
      <c r="E106" s="33" t="b">
        <f>IF(Analysis!A18="","",Analysis!BG18)</f>
        <v>1</v>
      </c>
      <c r="F106" s="33" t="str">
        <f>IF(Analysis!A18="","",Analysis!AN18)</f>
        <v>Pond/Side slope protection</v>
      </c>
      <c r="G106" s="33" t="str">
        <f>IF(Analysis!A18="","",Analysis!BA18)</f>
        <v>Design phase</v>
      </c>
      <c r="H106" s="34">
        <f>IF(Analysis!A18="","",Analysis!BJ18)</f>
        <v>46722</v>
      </c>
      <c r="I106" s="33" t="str">
        <f>IF(Analysis!A18="","",Analysis!BK18)</f>
        <v>No specific plan</v>
      </c>
    </row>
    <row r="107" spans="1:9" ht="14.25" customHeight="1" x14ac:dyDescent="0.25">
      <c r="A107" s="32">
        <f>IF(Analysis!A19="","",Analysis!A19)</f>
        <v>16</v>
      </c>
      <c r="B107" s="33" t="str">
        <f>IF(Analysis!A19="","",Analysis!B19)</f>
        <v>Al Faqaa</v>
      </c>
      <c r="C107" s="33" t="str">
        <f>IF(Analysis!A19="","",Analysis!C19)</f>
        <v>Dulaymah 1, Al Fagaa</v>
      </c>
      <c r="D107" s="33" t="str">
        <f>IF(Analysis!A19="","",Analysis!F19)</f>
        <v>High</v>
      </c>
      <c r="E107" s="33" t="b">
        <f>IF(Analysis!A19="","",Analysis!BG19)</f>
        <v>1</v>
      </c>
      <c r="F107" s="33" t="str">
        <f>IF(Analysis!A19="","",Analysis!AN19)</f>
        <v>Based on future design</v>
      </c>
      <c r="G107" s="33" t="str">
        <f>IF(Analysis!A19="","",Analysis!BA19)</f>
        <v>future project</v>
      </c>
      <c r="H107" s="34" t="str">
        <f>IF(Analysis!A19="","",Analysis!BJ19)</f>
        <v>CLIENT INPUT REQUIRED</v>
      </c>
      <c r="I107" s="33" t="str">
        <f>IF(Analysis!A19="","",Analysis!BK19)</f>
        <v>No specific plan</v>
      </c>
    </row>
    <row r="108" spans="1:9" ht="14.25" customHeight="1" x14ac:dyDescent="0.25">
      <c r="A108" s="32">
        <f>IF(Analysis!A20="","",Analysis!A20)</f>
        <v>17</v>
      </c>
      <c r="B108" s="33" t="str">
        <f>IF(Analysis!A20="","",Analysis!B20)</f>
        <v>Al Rawdah Al Sharqiyah - Al Ifaz &amp; Al Ghireebah</v>
      </c>
      <c r="C108" s="33" t="str">
        <f>IF(Analysis!A20="","",Analysis!C20)</f>
        <v>19-7 Al Sofouh St, Al Rawdah Al Sharqiyah - Al Ifaz</v>
      </c>
      <c r="D108" s="33" t="str">
        <f>IF(Analysis!A20="","",Analysis!F20)</f>
        <v>High</v>
      </c>
      <c r="E108" s="33" t="b">
        <f>IF(Analysis!A20="","",Analysis!BG20)</f>
        <v>1</v>
      </c>
      <c r="F108" s="33" t="str">
        <f>IF(Analysis!A20="","",Analysis!AN20)</f>
        <v>Based on future design</v>
      </c>
      <c r="G108" s="33" t="str">
        <f>IF(Analysis!A20="","",Analysis!BA20)</f>
        <v>future project</v>
      </c>
      <c r="H108" s="34" t="str">
        <f>IF(Analysis!A20="","",Analysis!BJ20)</f>
        <v>CLIENT INPUT REQUIRED</v>
      </c>
      <c r="I108" s="33" t="str">
        <f>IF(Analysis!A20="","",Analysis!BK20)</f>
        <v>No specific plan</v>
      </c>
    </row>
    <row r="109" spans="1:9" ht="14.25" customHeight="1" x14ac:dyDescent="0.25">
      <c r="A109" s="32">
        <f>IF(Analysis!A21="","",Analysis!A21)</f>
        <v>18</v>
      </c>
      <c r="B109" s="33" t="str">
        <f>IF(Analysis!A21="","",Analysis!B21)</f>
        <v>Al Rawdah Al Sharqiyah - Al Ifaz &amp; Al Ghireebah</v>
      </c>
      <c r="C109" s="33" t="str">
        <f>IF(Analysis!A21="","",Analysis!C21)</f>
        <v>Al Ifaz, Al Rawdah Al Sharqiyah</v>
      </c>
      <c r="D109" s="33" t="str">
        <f>IF(Analysis!A21="","",Analysis!F21)</f>
        <v>Very High</v>
      </c>
      <c r="E109" s="33" t="b">
        <f>IF(Analysis!A21="","",Analysis!BG21)</f>
        <v>1</v>
      </c>
      <c r="F109" s="33" t="str">
        <f>IF(Analysis!A21="","",Analysis!AN21)</f>
        <v>Based on future design</v>
      </c>
      <c r="G109" s="33" t="str">
        <f>IF(Analysis!A21="","",Analysis!BA21)</f>
        <v>future project</v>
      </c>
      <c r="H109" s="34" t="str">
        <f>IF(Analysis!A21="","",Analysis!BJ21)</f>
        <v>CLIENT INPUT REQUIRED</v>
      </c>
      <c r="I109" s="33" t="str">
        <f>IF(Analysis!A21="","",Analysis!BK21)</f>
        <v>No specific plan</v>
      </c>
    </row>
    <row r="110" spans="1:9" ht="14.25" customHeight="1" x14ac:dyDescent="0.25">
      <c r="A110" s="32">
        <f>IF(Analysis!A22="","",Analysis!A22)</f>
        <v>19</v>
      </c>
      <c r="B110" s="33" t="str">
        <f>IF(Analysis!A22="","",Analysis!B22)</f>
        <v>Al Fou'ah</v>
      </c>
      <c r="C110" s="33" t="str">
        <f>IF(Analysis!A22="","",Analysis!C22)</f>
        <v>Al Ain - Dubai Rd, Al Nabbagh – Sibeitah Tahnoun Bin Mohammed Al Nhayan Rd.</v>
      </c>
      <c r="D110" s="33" t="str">
        <f>IF(Analysis!A22="","",Analysis!F22)</f>
        <v>Medium</v>
      </c>
      <c r="E110" s="33" t="b">
        <f>IF(Analysis!A22="","",Analysis!BG22)</f>
        <v>1</v>
      </c>
      <c r="F110" s="33" t="str">
        <f>IF(Analysis!A22="","",Analysis!AN22)</f>
        <v>Upgrade Underpass drainage system</v>
      </c>
      <c r="G110" s="33" t="str">
        <f>IF(Analysis!A22="","",Analysis!BA22)</f>
        <v>Design phase</v>
      </c>
      <c r="H110" s="34">
        <f>IF(Analysis!A22="","",Analysis!BJ22)</f>
        <v>46753</v>
      </c>
      <c r="I110" s="33" t="str">
        <f>IF(Analysis!A22="","",Analysis!BK22)</f>
        <v>No specific plan</v>
      </c>
    </row>
    <row r="111" spans="1:9" ht="14.25" customHeight="1" x14ac:dyDescent="0.25">
      <c r="A111" s="32">
        <f>IF(Analysis!A23="","",Analysis!A23)</f>
        <v>20</v>
      </c>
      <c r="B111" s="33" t="str">
        <f>IF(Analysis!A23="","",Analysis!B23)</f>
        <v>Al Fou'ah</v>
      </c>
      <c r="C111" s="33" t="str">
        <f>IF(Analysis!A23="","",Analysis!C23)</f>
        <v>Al Fou'ah - Al Sajaa</v>
      </c>
      <c r="D111" s="33" t="str">
        <f>IF(Analysis!A23="","",Analysis!F23)</f>
        <v>Medium</v>
      </c>
      <c r="E111" s="33" t="b">
        <f>IF(Analysis!A23="","",Analysis!BG23)</f>
        <v>1</v>
      </c>
      <c r="F111" s="33" t="str">
        <f>IF(Analysis!A23="","",Analysis!AN23)</f>
        <v>Based on future design</v>
      </c>
      <c r="G111" s="33" t="str">
        <f>IF(Analysis!A23="","",Analysis!BA23)</f>
        <v>future project</v>
      </c>
      <c r="H111" s="34" t="str">
        <f>IF(Analysis!A23="","",Analysis!BJ23)</f>
        <v>CLIENT INPUT REQUIRED</v>
      </c>
      <c r="I111" s="33" t="str">
        <f>IF(Analysis!A23="","",Analysis!BK23)</f>
        <v>No specific plan</v>
      </c>
    </row>
    <row r="112" spans="1:9" ht="14.25" customHeight="1" x14ac:dyDescent="0.25">
      <c r="A112" s="32">
        <f>IF(Analysis!A24="","",Analysis!A24)</f>
        <v>21</v>
      </c>
      <c r="B112" s="33" t="str">
        <f>IF(Analysis!A24="","",Analysis!B24)</f>
        <v>Al Fou'ah</v>
      </c>
      <c r="C112" s="33" t="str">
        <f>IF(Analysis!A24="","",Analysis!C24)</f>
        <v>Abu 'Ubaidah Bin Al Jarrah St. Al Sajaa, Al Fou'ah</v>
      </c>
      <c r="D112" s="33" t="str">
        <f>IF(Analysis!A24="","",Analysis!F24)</f>
        <v>High</v>
      </c>
      <c r="E112" s="33" t="b">
        <f>IF(Analysis!A24="","",Analysis!BG24)</f>
        <v>1</v>
      </c>
      <c r="F112" s="33" t="str">
        <f>IF(Analysis!A24="","",Analysis!AN24)</f>
        <v>Upgrade Network</v>
      </c>
      <c r="G112" s="33" t="str">
        <f>IF(Analysis!A24="","",Analysis!BA24)</f>
        <v>Implementation phase</v>
      </c>
      <c r="H112" s="34">
        <f>IF(Analysis!A24="","",Analysis!BJ24)</f>
        <v>46357</v>
      </c>
      <c r="I112" s="33" t="str">
        <f>IF(Analysis!A24="","",Analysis!BK24)</f>
        <v>No specific plan</v>
      </c>
    </row>
    <row r="113" spans="1:9" ht="14.25" customHeight="1" x14ac:dyDescent="0.25">
      <c r="A113" s="32">
        <f>IF(Analysis!A25="","",Analysis!A25)</f>
        <v>22</v>
      </c>
      <c r="B113" s="33" t="str">
        <f>IF(Analysis!A25="","",Analysis!B25)</f>
        <v>Al Fou'ah</v>
      </c>
      <c r="C113" s="33" t="str">
        <f>IF(Analysis!A25="","",Analysis!C25)</f>
        <v>Al Fouʹah St, Al Fou'ah - Al Raqiyah</v>
      </c>
      <c r="D113" s="33" t="str">
        <f>IF(Analysis!A25="","",Analysis!F25)</f>
        <v>Medium</v>
      </c>
      <c r="E113" s="33" t="b">
        <f>IF(Analysis!A25="","",Analysis!BG25)</f>
        <v>1</v>
      </c>
      <c r="F113" s="33" t="str">
        <f>IF(Analysis!A25="","",Analysis!AN25)</f>
        <v>Based on future design</v>
      </c>
      <c r="G113" s="33" t="str">
        <f>IF(Analysis!A25="","",Analysis!BA25)</f>
        <v>future project</v>
      </c>
      <c r="H113" s="34" t="str">
        <f>IF(Analysis!A25="","",Analysis!BJ25)</f>
        <v>CLIENT INPUT REQUIRED</v>
      </c>
      <c r="I113" s="33" t="str">
        <f>IF(Analysis!A25="","",Analysis!BK25)</f>
        <v>No specific plan</v>
      </c>
    </row>
    <row r="114" spans="1:9" ht="14.25" customHeight="1" x14ac:dyDescent="0.25">
      <c r="A114" s="32">
        <f>IF(Analysis!A26="","",Analysis!A26)</f>
        <v>23</v>
      </c>
      <c r="B114" s="33" t="str">
        <f>IF(Analysis!A26="","",Analysis!B26)</f>
        <v>Al Hiyar</v>
      </c>
      <c r="C114" s="33" t="str">
        <f>IF(Analysis!A26="","",Analysis!C26)</f>
        <v>Wadi Maad, Al Hiyar</v>
      </c>
      <c r="D114" s="33" t="str">
        <f>IF(Analysis!A26="","",Analysis!F26)</f>
        <v>High</v>
      </c>
      <c r="E114" s="33" t="b">
        <f>IF(Analysis!A26="","",Analysis!BG26)</f>
        <v>1</v>
      </c>
      <c r="F114" s="33" t="str">
        <f>IF(Analysis!A26="","",Analysis!AN26)</f>
        <v>Upgrade Network</v>
      </c>
      <c r="G114" s="33" t="str">
        <f>IF(Analysis!A26="","",Analysis!BA26)</f>
        <v>Implementation phase</v>
      </c>
      <c r="H114" s="34">
        <f>IF(Analysis!A26="","",Analysis!BJ26)</f>
        <v>46357</v>
      </c>
      <c r="I114" s="33" t="str">
        <f>IF(Analysis!A26="","",Analysis!BK26)</f>
        <v>No specific plan</v>
      </c>
    </row>
    <row r="115" spans="1:9" ht="14.25" customHeight="1" x14ac:dyDescent="0.25">
      <c r="A115" s="32">
        <f>IF(Analysis!A27="","",Analysis!A27)</f>
        <v>24</v>
      </c>
      <c r="B115" s="33" t="str">
        <f>IF(Analysis!A27="","",Analysis!B27)</f>
        <v>Al Hiyar</v>
      </c>
      <c r="C115" s="33" t="str">
        <f>IF(Analysis!A27="","",Analysis!C27)</f>
        <v>Ramlat Al Hayer, Al Hiyar</v>
      </c>
      <c r="D115" s="33" t="str">
        <f>IF(Analysis!A27="","",Analysis!F27)</f>
        <v>High</v>
      </c>
      <c r="E115" s="33" t="b">
        <f>IF(Analysis!A27="","",Analysis!BG27)</f>
        <v>1</v>
      </c>
      <c r="F115" s="33" t="str">
        <f>IF(Analysis!A27="","",Analysis!AN27)</f>
        <v>Based on future design</v>
      </c>
      <c r="G115" s="33" t="str">
        <f>IF(Analysis!A27="","",Analysis!BA27)</f>
        <v>future project</v>
      </c>
      <c r="H115" s="34" t="str">
        <f>IF(Analysis!A27="","",Analysis!BJ27)</f>
        <v>CLIENT INPUT REQUIRED</v>
      </c>
      <c r="I115" s="33" t="str">
        <f>IF(Analysis!A27="","",Analysis!BK27)</f>
        <v>No specific plan</v>
      </c>
    </row>
    <row r="116" spans="1:9" ht="14.25" customHeight="1" x14ac:dyDescent="0.25">
      <c r="A116" s="32">
        <f>IF(Analysis!A28="","",Analysis!A28)</f>
        <v>25</v>
      </c>
      <c r="B116" s="33" t="str">
        <f>IF(Analysis!A28="","",Analysis!B28)</f>
        <v>Al Hiyar</v>
      </c>
      <c r="C116" s="33" t="str">
        <f>IF(Analysis!A28="","",Analysis!C28)</f>
        <v>E20, Al Hiyar - Al Hayer 6</v>
      </c>
      <c r="D116" s="33" t="str">
        <f>IF(Analysis!A28="","",Analysis!F28)</f>
        <v>High</v>
      </c>
      <c r="E116" s="33" t="b">
        <f>IF(Analysis!A28="","",Analysis!BG28)</f>
        <v>1</v>
      </c>
      <c r="F116" s="33" t="str">
        <f>IF(Analysis!A28="","",Analysis!AN28)</f>
        <v>Based on future design</v>
      </c>
      <c r="G116" s="33" t="str">
        <f>IF(Analysis!A28="","",Analysis!BA28)</f>
        <v>future project</v>
      </c>
      <c r="H116" s="34" t="str">
        <f>IF(Analysis!A28="","",Analysis!BJ28)</f>
        <v>CLIENT INPUT REQUIRED</v>
      </c>
      <c r="I116" s="33" t="str">
        <f>IF(Analysis!A28="","",Analysis!BK28)</f>
        <v>No specific plan</v>
      </c>
    </row>
    <row r="117" spans="1:9" ht="14.25" customHeight="1" x14ac:dyDescent="0.25">
      <c r="A117" s="32">
        <f>IF(Analysis!A29="","",Analysis!A29)</f>
        <v>26</v>
      </c>
      <c r="B117" s="33" t="str">
        <f>IF(Analysis!A29="","",Analysis!B29)</f>
        <v>Al Hiyar</v>
      </c>
      <c r="C117" s="33" t="str">
        <f>IF(Analysis!A29="","",Analysis!C29)</f>
        <v>Um Al Dakhan, Al Hiyar</v>
      </c>
      <c r="D117" s="33" t="str">
        <f>IF(Analysis!A29="","",Analysis!F29)</f>
        <v>High</v>
      </c>
      <c r="E117" s="33" t="b">
        <f>IF(Analysis!A29="","",Analysis!BG29)</f>
        <v>1</v>
      </c>
      <c r="F117" s="33" t="str">
        <f>IF(Analysis!A29="","",Analysis!AN29)</f>
        <v>Pond/Side slope protection</v>
      </c>
      <c r="G117" s="33" t="str">
        <f>IF(Analysis!A29="","",Analysis!BA29)</f>
        <v>Design phase</v>
      </c>
      <c r="H117" s="34">
        <f>IF(Analysis!A29="","",Analysis!BJ29)</f>
        <v>46722</v>
      </c>
      <c r="I117" s="33" t="str">
        <f>IF(Analysis!A29="","",Analysis!BK29)</f>
        <v>No specific plan</v>
      </c>
    </row>
    <row r="118" spans="1:9" ht="14.25" customHeight="1" x14ac:dyDescent="0.25">
      <c r="A118" s="32">
        <f>IF(Analysis!A30="","",Analysis!A30)</f>
        <v>27</v>
      </c>
      <c r="B118" s="33" t="str">
        <f>IF(Analysis!A30="","",Analysis!B30)</f>
        <v>Al Hiyar</v>
      </c>
      <c r="C118" s="33" t="str">
        <f>IF(Analysis!A30="","",Analysis!C30)</f>
        <v>Al Shansoobah, Al Hiyar</v>
      </c>
      <c r="D118" s="33" t="str">
        <f>IF(Analysis!A30="","",Analysis!F30)</f>
        <v>High</v>
      </c>
      <c r="E118" s="33" t="b">
        <f>IF(Analysis!A30="","",Analysis!BG30)</f>
        <v>1</v>
      </c>
      <c r="F118" s="33" t="str">
        <f>IF(Analysis!A30="","",Analysis!AN30)</f>
        <v>Pond/Side slope protection</v>
      </c>
      <c r="G118" s="33" t="str">
        <f>IF(Analysis!A30="","",Analysis!BA30)</f>
        <v>Design phase</v>
      </c>
      <c r="H118" s="34">
        <f>IF(Analysis!A30="","",Analysis!BJ30)</f>
        <v>46722</v>
      </c>
      <c r="I118" s="33" t="str">
        <f>IF(Analysis!A30="","",Analysis!BK30)</f>
        <v>No specific plan</v>
      </c>
    </row>
    <row r="119" spans="1:9" ht="14.25" customHeight="1" x14ac:dyDescent="0.25">
      <c r="A119" s="32">
        <f>IF(Analysis!A31="","",Analysis!A31)</f>
        <v>28</v>
      </c>
      <c r="B119" s="33" t="str">
        <f>IF(Analysis!A31="","",Analysis!B31)</f>
        <v>Al Hiyar</v>
      </c>
      <c r="C119" s="33" t="str">
        <f>IF(Analysis!A31="","",Analysis!C31)</f>
        <v>Al Shansoobah, Al Hiyar</v>
      </c>
      <c r="D119" s="33" t="str">
        <f>IF(Analysis!A31="","",Analysis!F31)</f>
        <v>High</v>
      </c>
      <c r="E119" s="33" t="b">
        <f>IF(Analysis!A31="","",Analysis!BG31)</f>
        <v>1</v>
      </c>
      <c r="F119" s="33" t="str">
        <f>IF(Analysis!A31="","",Analysis!AN31)</f>
        <v>Pond/Side slope protection</v>
      </c>
      <c r="G119" s="33" t="str">
        <f>IF(Analysis!A31="","",Analysis!BA31)</f>
        <v>Design phase</v>
      </c>
      <c r="H119" s="34">
        <f>IF(Analysis!A31="","",Analysis!BJ31)</f>
        <v>46722</v>
      </c>
      <c r="I119" s="33" t="str">
        <f>IF(Analysis!A31="","",Analysis!BK31)</f>
        <v>No specific plan</v>
      </c>
    </row>
    <row r="120" spans="1:9" ht="14.25" customHeight="1" x14ac:dyDescent="0.25">
      <c r="A120" s="32">
        <f>IF(Analysis!A32="","",Analysis!A32)</f>
        <v>29</v>
      </c>
      <c r="B120" s="33" t="str">
        <f>IF(Analysis!A32="","",Analysis!B32)</f>
        <v>Al Hiyar</v>
      </c>
      <c r="C120" s="33" t="str">
        <f>IF(Analysis!A32="","",Analysis!C32)</f>
        <v>36 Wadi At Tabnah St, Al Hiyar - Ramlat Al Hayer</v>
      </c>
      <c r="D120" s="33" t="str">
        <f>IF(Analysis!A32="","",Analysis!F32)</f>
        <v>High</v>
      </c>
      <c r="E120" s="33" t="b">
        <f>IF(Analysis!A32="","",Analysis!BG32)</f>
        <v>1</v>
      </c>
      <c r="F120" s="33" t="str">
        <f>IF(Analysis!A32="","",Analysis!AN32)</f>
        <v>New Network</v>
      </c>
      <c r="G120" s="33" t="str">
        <f>IF(Analysis!A32="","",Analysis!BA32)</f>
        <v>Design phase</v>
      </c>
      <c r="H120" s="34" t="str">
        <f>IF(Analysis!A32="","",Analysis!BJ32)</f>
        <v>CLIENT INPUT REQUIRED</v>
      </c>
      <c r="I120" s="33" t="str">
        <f>IF(Analysis!A32="","",Analysis!BK32)</f>
        <v>No specific plan</v>
      </c>
    </row>
    <row r="121" spans="1:9" ht="14.25" customHeight="1" x14ac:dyDescent="0.25">
      <c r="A121" s="32">
        <f>IF(Analysis!A33="","",Analysis!A33)</f>
        <v>30</v>
      </c>
      <c r="B121" s="33" t="str">
        <f>IF(Analysis!A33="","",Analysis!B33)</f>
        <v>Al Hiyar</v>
      </c>
      <c r="C121" s="33" t="str">
        <f>IF(Analysis!A33="","",Analysis!C33)</f>
        <v>Shaʹbiyat Al Hiyar St, Al Hiyar - Al Jabib - East</v>
      </c>
      <c r="D121" s="33" t="str">
        <f>IF(Analysis!A33="","",Analysis!F33)</f>
        <v>High</v>
      </c>
      <c r="E121" s="33" t="b">
        <f>IF(Analysis!A33="","",Analysis!BG33)</f>
        <v>1</v>
      </c>
      <c r="F121" s="33" t="str">
        <f>IF(Analysis!A33="","",Analysis!AN33)</f>
        <v>Pond/Side slope protection</v>
      </c>
      <c r="G121" s="33" t="str">
        <f>IF(Analysis!A33="","",Analysis!BA33)</f>
        <v>Design phase</v>
      </c>
      <c r="H121" s="34">
        <f>IF(Analysis!A33="","",Analysis!BJ33)</f>
        <v>46722</v>
      </c>
      <c r="I121" s="33" t="str">
        <f>IF(Analysis!A33="","",Analysis!BK33)</f>
        <v>No specific plan</v>
      </c>
    </row>
    <row r="122" spans="1:9" ht="14.25" customHeight="1" x14ac:dyDescent="0.25">
      <c r="A122" s="32">
        <f>IF(Analysis!A34="","",Analysis!A34)</f>
        <v>31</v>
      </c>
      <c r="B122" s="33" t="str">
        <f>IF(Analysis!A34="","",Analysis!B34)</f>
        <v>Al Hiyar</v>
      </c>
      <c r="C122" s="33" t="str">
        <f>IF(Analysis!A34="","",Analysis!C34)</f>
        <v>Sweihan Rd, Al Hiyar - Al Ghashbah</v>
      </c>
      <c r="D122" s="33" t="str">
        <f>IF(Analysis!A34="","",Analysis!F34)</f>
        <v>High</v>
      </c>
      <c r="E122" s="33" t="b">
        <f>IF(Analysis!A34="","",Analysis!BG34)</f>
        <v>1</v>
      </c>
      <c r="F122" s="33" t="str">
        <f>IF(Analysis!A34="","",Analysis!AN34)</f>
        <v>Based on future design</v>
      </c>
      <c r="G122" s="33" t="str">
        <f>IF(Analysis!A34="","",Analysis!BA34)</f>
        <v>future project</v>
      </c>
      <c r="H122" s="34" t="str">
        <f>IF(Analysis!A34="","",Analysis!BJ34)</f>
        <v>CLIENT INPUT REQUIRED</v>
      </c>
      <c r="I122" s="33" t="str">
        <f>IF(Analysis!A34="","",Analysis!BK34)</f>
        <v>No specific plan</v>
      </c>
    </row>
    <row r="123" spans="1:9" ht="14.25" customHeight="1" x14ac:dyDescent="0.25">
      <c r="A123" s="32">
        <f>IF(Analysis!A35="","",Analysis!A35)</f>
        <v>32</v>
      </c>
      <c r="B123" s="33" t="str">
        <f>IF(Analysis!A35="","",Analysis!B35)</f>
        <v>Al Jimi</v>
      </c>
      <c r="C123" s="33" t="str">
        <f>IF(Analysis!A35="","",Analysis!C35)</f>
        <v>35 Al Jamal St, Al Jimi - Al Mraijeb</v>
      </c>
      <c r="D123" s="33" t="str">
        <f>IF(Analysis!A35="","",Analysis!F35)</f>
        <v>Very High</v>
      </c>
      <c r="E123" s="33" t="b">
        <f>IF(Analysis!A35="","",Analysis!BG35)</f>
        <v>1</v>
      </c>
      <c r="F123" s="33" t="str">
        <f>IF(Analysis!A35="","",Analysis!AN35)</f>
        <v>Upgrade Network</v>
      </c>
      <c r="G123" s="33" t="str">
        <f>IF(Analysis!A35="","",Analysis!BA35)</f>
        <v>Implementation phase</v>
      </c>
      <c r="H123" s="34">
        <f>IF(Analysis!A35="","",Analysis!BJ35)</f>
        <v>46357</v>
      </c>
      <c r="I123" s="33" t="str">
        <f>IF(Analysis!A35="","",Analysis!BK35)</f>
        <v>No specific plan</v>
      </c>
    </row>
    <row r="124" spans="1:9" ht="14.25" customHeight="1" x14ac:dyDescent="0.25">
      <c r="A124" s="32">
        <f>IF(Analysis!A36="","",Analysis!A36)</f>
        <v>33</v>
      </c>
      <c r="B124" s="33" t="str">
        <f>IF(Analysis!A36="","",Analysis!B36)</f>
        <v>Al Jimi</v>
      </c>
      <c r="C124" s="33" t="str">
        <f>IF(Analysis!A36="","",Analysis!C36)</f>
        <v>4-8 Al Tajer St. Al Jimi - Slemi</v>
      </c>
      <c r="D124" s="33" t="str">
        <f>IF(Analysis!A36="","",Analysis!F36)</f>
        <v>Very High</v>
      </c>
      <c r="E124" s="33" t="b">
        <f>IF(Analysis!A36="","",Analysis!BG36)</f>
        <v>1</v>
      </c>
      <c r="F124" s="33" t="str">
        <f>IF(Analysis!A36="","",Analysis!AN36)</f>
        <v>Upgrade Network</v>
      </c>
      <c r="G124" s="33" t="str">
        <f>IF(Analysis!A36="","",Analysis!BA36)</f>
        <v>Design phase</v>
      </c>
      <c r="H124" s="34">
        <f>IF(Analysis!A36="","",Analysis!BJ36)</f>
        <v>47088</v>
      </c>
      <c r="I124" s="33" t="str">
        <f>IF(Analysis!A36="","",Analysis!BK36)</f>
        <v>No specific plan</v>
      </c>
    </row>
    <row r="125" spans="1:9" ht="14.25" customHeight="1" x14ac:dyDescent="0.25">
      <c r="A125" s="32">
        <f>IF(Analysis!A37="","",Analysis!A37)</f>
        <v>34</v>
      </c>
      <c r="B125" s="33" t="str">
        <f>IF(Analysis!A37="","",Analysis!B37)</f>
        <v>Al Jimi</v>
      </c>
      <c r="C125" s="33" t="str">
        <f>IF(Analysis!A37="","",Analysis!C37)</f>
        <v>5-1 Al Snono, Al Jimi - Slemi</v>
      </c>
      <c r="D125" s="33" t="str">
        <f>IF(Analysis!A37="","",Analysis!F37)</f>
        <v>Very High</v>
      </c>
      <c r="E125" s="33" t="b">
        <f>IF(Analysis!A37="","",Analysis!BG37)</f>
        <v>1</v>
      </c>
      <c r="F125" s="33" t="str">
        <f>IF(Analysis!A37="","",Analysis!AN37)</f>
        <v>Upgrade Network</v>
      </c>
      <c r="G125" s="33" t="str">
        <f>IF(Analysis!A37="","",Analysis!BA37)</f>
        <v>Design phase</v>
      </c>
      <c r="H125" s="34">
        <f>IF(Analysis!A37="","",Analysis!BJ37)</f>
        <v>47088</v>
      </c>
      <c r="I125" s="33" t="str">
        <f>IF(Analysis!A37="","",Analysis!BK37)</f>
        <v>No specific plan</v>
      </c>
    </row>
    <row r="126" spans="1:9" ht="14.25" customHeight="1" x14ac:dyDescent="0.25">
      <c r="A126" s="32">
        <f>IF(Analysis!A38="","",Analysis!A38)</f>
        <v>35</v>
      </c>
      <c r="B126" s="33" t="str">
        <f>IF(Analysis!A38="","",Analysis!B38)</f>
        <v>Al Jimi</v>
      </c>
      <c r="C126" s="33" t="str">
        <f>IF(Analysis!A38="","",Analysis!C38)</f>
        <v>47-7 Al Bahaa St, Al Jimi - Al Mraijeb</v>
      </c>
      <c r="D126" s="33" t="str">
        <f>IF(Analysis!A38="","",Analysis!F38)</f>
        <v>Very High</v>
      </c>
      <c r="E126" s="33" t="b">
        <f>IF(Analysis!A38="","",Analysis!BG38)</f>
        <v>1</v>
      </c>
      <c r="F126" s="33" t="str">
        <f>IF(Analysis!A38="","",Analysis!AN38)</f>
        <v>Upgrade Network</v>
      </c>
      <c r="G126" s="33" t="str">
        <f>IF(Analysis!A38="","",Analysis!BA38)</f>
        <v>Implementation phase</v>
      </c>
      <c r="H126" s="34">
        <f>IF(Analysis!A38="","",Analysis!BJ38)</f>
        <v>46357</v>
      </c>
      <c r="I126" s="33" t="str">
        <f>IF(Analysis!A38="","",Analysis!BK38)</f>
        <v>No specific plan</v>
      </c>
    </row>
    <row r="127" spans="1:9" ht="14.25" customHeight="1" x14ac:dyDescent="0.25">
      <c r="A127" s="32">
        <f>IF(Analysis!A39="","",Analysis!A39)</f>
        <v>36</v>
      </c>
      <c r="B127" s="33" t="str">
        <f>IF(Analysis!A39="","",Analysis!B39)</f>
        <v>Al Jimi</v>
      </c>
      <c r="C127" s="33" t="str">
        <f>IF(Analysis!A39="","",Analysis!C39)</f>
        <v>Hazza Bin Sultan Staduim Tunnel, Zayed The First St</v>
      </c>
      <c r="D127" s="33" t="str">
        <f>IF(Analysis!A39="","",Analysis!F39)</f>
        <v>Very High</v>
      </c>
      <c r="E127" s="33" t="b">
        <f>IF(Analysis!A39="","",Analysis!BG39)</f>
        <v>1</v>
      </c>
      <c r="F127" s="33" t="str">
        <f>IF(Analysis!A39="","",Analysis!AN39)</f>
        <v>Upgrade Underpass drainage system</v>
      </c>
      <c r="G127" s="33" t="str">
        <f>IF(Analysis!A39="","",Analysis!BA39)</f>
        <v>Design phase</v>
      </c>
      <c r="H127" s="34">
        <f>IF(Analysis!A39="","",Analysis!BJ39)</f>
        <v>46753</v>
      </c>
      <c r="I127" s="33" t="str">
        <f>IF(Analysis!A39="","",Analysis!BK39)</f>
        <v>No specific plan</v>
      </c>
    </row>
    <row r="128" spans="1:9" ht="14.25" customHeight="1" x14ac:dyDescent="0.25">
      <c r="A128" s="32">
        <f>IF(Analysis!A40="","",Analysis!A40)</f>
        <v>37</v>
      </c>
      <c r="B128" s="33" t="str">
        <f>IF(Analysis!A40="","",Analysis!B40)</f>
        <v>Al Jimi</v>
      </c>
      <c r="C128" s="33" t="str">
        <f>IF(Analysis!A40="","",Analysis!C40)</f>
        <v>Mohammed Bin Khalifa St, Al Jimi</v>
      </c>
      <c r="D128" s="33" t="str">
        <f>IF(Analysis!A40="","",Analysis!F40)</f>
        <v>Very High</v>
      </c>
      <c r="E128" s="33" t="b">
        <f>IF(Analysis!A40="","",Analysis!BG40)</f>
        <v>1</v>
      </c>
      <c r="F128" s="33" t="str">
        <f>IF(Analysis!A40="","",Analysis!AN40)</f>
        <v>Upgrade Network</v>
      </c>
      <c r="G128" s="33" t="str">
        <f>IF(Analysis!A40="","",Analysis!BA40)</f>
        <v>Design phase</v>
      </c>
      <c r="H128" s="34">
        <f>IF(Analysis!A40="","",Analysis!BJ40)</f>
        <v>46905</v>
      </c>
      <c r="I128" s="33" t="str">
        <f>IF(Analysis!A40="","",Analysis!BK40)</f>
        <v>No specific plan</v>
      </c>
    </row>
    <row r="129" spans="1:9" ht="14.25" customHeight="1" x14ac:dyDescent="0.25">
      <c r="A129" s="32">
        <f>IF(Analysis!A41="","",Analysis!A41)</f>
        <v>38</v>
      </c>
      <c r="B129" s="33" t="str">
        <f>IF(Analysis!A41="","",Analysis!B41)</f>
        <v>Al Jimi</v>
      </c>
      <c r="C129" s="33" t="str">
        <f>IF(Analysis!A41="","",Analysis!C41)</f>
        <v>Al Muwaijʹi St, Al Jimi - Civic Center</v>
      </c>
      <c r="D129" s="33" t="str">
        <f>IF(Analysis!A41="","",Analysis!F41)</f>
        <v>Very High</v>
      </c>
      <c r="E129" s="33" t="b">
        <f>IF(Analysis!A41="","",Analysis!BG41)</f>
        <v>1</v>
      </c>
      <c r="F129" s="33" t="str">
        <f>IF(Analysis!A41="","",Analysis!AN41)</f>
        <v>Upgrade Network</v>
      </c>
      <c r="G129" s="33" t="str">
        <f>IF(Analysis!A41="","",Analysis!BA41)</f>
        <v>Implementation phase</v>
      </c>
      <c r="H129" s="34">
        <f>IF(Analysis!A41="","",Analysis!BJ41)</f>
        <v>46357</v>
      </c>
      <c r="I129" s="33" t="str">
        <f>IF(Analysis!A41="","",Analysis!BK41)</f>
        <v>No specific plan</v>
      </c>
    </row>
    <row r="130" spans="1:9" ht="14.25" customHeight="1" x14ac:dyDescent="0.25">
      <c r="A130" s="32">
        <f>IF(Analysis!A42="","",Analysis!A42)</f>
        <v>39</v>
      </c>
      <c r="B130" s="33" t="str">
        <f>IF(Analysis!A42="","",Analysis!B42)</f>
        <v>Al Jimi</v>
      </c>
      <c r="C130" s="33" t="str">
        <f>IF(Analysis!A42="","",Analysis!C42)</f>
        <v>Civic Center, Al Jimi</v>
      </c>
      <c r="D130" s="33" t="str">
        <f>IF(Analysis!A42="","",Analysis!F42)</f>
        <v>Very High</v>
      </c>
      <c r="E130" s="33" t="b">
        <f>IF(Analysis!A42="","",Analysis!BG42)</f>
        <v>1</v>
      </c>
      <c r="F130" s="33" t="str">
        <f>IF(Analysis!A42="","",Analysis!AN42)</f>
        <v>Upgrade Network</v>
      </c>
      <c r="G130" s="33" t="str">
        <f>IF(Analysis!A42="","",Analysis!BA42)</f>
        <v>Implementation phase</v>
      </c>
      <c r="H130" s="34">
        <f>IF(Analysis!A42="","",Analysis!BJ42)</f>
        <v>46357</v>
      </c>
      <c r="I130" s="33" t="str">
        <f>IF(Analysis!A42="","",Analysis!BK42)</f>
        <v>No specific plan</v>
      </c>
    </row>
    <row r="131" spans="1:9" ht="14.25" customHeight="1" x14ac:dyDescent="0.25">
      <c r="A131" s="32">
        <f>IF(Analysis!A43="","",Analysis!A43)</f>
        <v>40</v>
      </c>
      <c r="B131" s="33" t="str">
        <f>IF(Analysis!A43="","",Analysis!B43)</f>
        <v>Al Jimi</v>
      </c>
      <c r="C131" s="33" t="str">
        <f>IF(Analysis!A43="","",Analysis!C43)</f>
        <v>Ugdat Al Ameriya, Al Jimi</v>
      </c>
      <c r="D131" s="33" t="str">
        <f>IF(Analysis!A43="","",Analysis!F43)</f>
        <v>Very High</v>
      </c>
      <c r="E131" s="33" t="b">
        <f>IF(Analysis!A43="","",Analysis!BG43)</f>
        <v>1</v>
      </c>
      <c r="F131" s="33" t="str">
        <f>IF(Analysis!A43="","",Analysis!AN43)</f>
        <v>Upgrade Network</v>
      </c>
      <c r="G131" s="33" t="str">
        <f>IF(Analysis!A43="","",Analysis!BA43)</f>
        <v>Design phase</v>
      </c>
      <c r="H131" s="34">
        <f>IF(Analysis!A43="","",Analysis!BJ43)</f>
        <v>47088</v>
      </c>
      <c r="I131" s="33" t="str">
        <f>IF(Analysis!A43="","",Analysis!BK43)</f>
        <v>No specific plan</v>
      </c>
    </row>
    <row r="132" spans="1:9" ht="14.25" customHeight="1" x14ac:dyDescent="0.25">
      <c r="A132" s="32">
        <f>IF(Analysis!A44="","",Analysis!A44)</f>
        <v>41</v>
      </c>
      <c r="B132" s="33" t="str">
        <f>IF(Analysis!A44="","",Analysis!B44)</f>
        <v>Al Khibeesi</v>
      </c>
      <c r="C132" s="33" t="str">
        <f>IF(Analysis!A44="","",Analysis!C44)</f>
        <v xml:space="preserve">28-56 AI Lammah St, Al Khibeesi - Al Naseriyya </v>
      </c>
      <c r="D132" s="33" t="str">
        <f>IF(Analysis!A44="","",Analysis!F44)</f>
        <v>High</v>
      </c>
      <c r="E132" s="33" t="b">
        <f>IF(Analysis!A44="","",Analysis!BG44)</f>
        <v>1</v>
      </c>
      <c r="F132" s="33" t="str">
        <f>IF(Analysis!A44="","",Analysis!AN44)</f>
        <v>Upgrade Network</v>
      </c>
      <c r="G132" s="33" t="str">
        <f>IF(Analysis!A44="","",Analysis!BA44)</f>
        <v>Implementation phase</v>
      </c>
      <c r="H132" s="34">
        <f>IF(Analysis!A44="","",Analysis!BJ44)</f>
        <v>46357</v>
      </c>
      <c r="I132" s="33" t="str">
        <f>IF(Analysis!A44="","",Analysis!BK44)</f>
        <v>No specific plan</v>
      </c>
    </row>
    <row r="133" spans="1:9" ht="14.25" customHeight="1" x14ac:dyDescent="0.25">
      <c r="A133" s="32">
        <f>IF(Analysis!A45="","",Analysis!A45)</f>
        <v>42</v>
      </c>
      <c r="B133" s="33" t="str">
        <f>IF(Analysis!A45="","",Analysis!B45)</f>
        <v xml:space="preserve">Al Khibeesi </v>
      </c>
      <c r="C133" s="33" t="str">
        <f>IF(Analysis!A45="","",Analysis!C45)</f>
        <v>Al Zaafaran, Al Khibeesi</v>
      </c>
      <c r="D133" s="33" t="str">
        <f>IF(Analysis!A45="","",Analysis!F45)</f>
        <v>High</v>
      </c>
      <c r="E133" s="33" t="b">
        <f>IF(Analysis!A45="","",Analysis!BG45)</f>
        <v>1</v>
      </c>
      <c r="F133" s="33" t="str">
        <f>IF(Analysis!A45="","",Analysis!AN45)</f>
        <v>Based on future design</v>
      </c>
      <c r="G133" s="33" t="str">
        <f>IF(Analysis!A45="","",Analysis!BA45)</f>
        <v>future project</v>
      </c>
      <c r="H133" s="34" t="str">
        <f>IF(Analysis!A45="","",Analysis!BJ45)</f>
        <v>CLIENT INPUT REQUIRED</v>
      </c>
      <c r="I133" s="33" t="str">
        <f>IF(Analysis!A45="","",Analysis!BK45)</f>
        <v>No specific plan</v>
      </c>
    </row>
    <row r="134" spans="1:9" ht="14.25" customHeight="1" x14ac:dyDescent="0.25">
      <c r="A134" s="32">
        <f>IF(Analysis!A46="","",Analysis!A46)</f>
        <v>43</v>
      </c>
      <c r="B134" s="33" t="str">
        <f>IF(Analysis!A46="","",Analysis!B46)</f>
        <v>Al Khibeesi (Emergency plan with Al Dar)</v>
      </c>
      <c r="C134" s="33" t="str">
        <f>IF(Analysis!A46="","",Analysis!C46)</f>
        <v>Al Meryal, Al Khibeesi Area</v>
      </c>
      <c r="D134" s="33" t="str">
        <f>IF(Analysis!A46="","",Analysis!F46)</f>
        <v>High</v>
      </c>
      <c r="E134" s="33" t="b">
        <f>IF(Analysis!A46="","",Analysis!BG46)</f>
        <v>1</v>
      </c>
      <c r="F134" s="33" t="str">
        <f>IF(Analysis!A46="","",Analysis!AN46)</f>
        <v>New Network</v>
      </c>
      <c r="G134" s="33" t="str">
        <f>IF(Analysis!A46="","",Analysis!BA46)</f>
        <v>Implementation phase</v>
      </c>
      <c r="H134" s="34" t="str">
        <f>IF(Analysis!A46="","",Analysis!BJ46)</f>
        <v>CLIENT INPUT REQUIRED</v>
      </c>
      <c r="I134" s="33" t="str">
        <f>IF(Analysis!A46="","",Analysis!BK46)</f>
        <v>No specific plan</v>
      </c>
    </row>
    <row r="135" spans="1:9" ht="14.25" customHeight="1" x14ac:dyDescent="0.25">
      <c r="A135" s="32">
        <f>IF(Analysis!A47="","",Analysis!A47)</f>
        <v>44</v>
      </c>
      <c r="B135" s="33" t="str">
        <f>IF(Analysis!A47="","",Analysis!B47)</f>
        <v>Al Maqam &amp; Asharej (to be rais to injazz)</v>
      </c>
      <c r="C135" s="33" t="str">
        <f>IF(Analysis!A47="","",Analysis!C47)</f>
        <v>Shabiyat Al Maqam, Al Maqam</v>
      </c>
      <c r="D135" s="33" t="str">
        <f>IF(Analysis!A47="","",Analysis!F47)</f>
        <v>Very High</v>
      </c>
      <c r="E135" s="33" t="b">
        <f>IF(Analysis!A47="","",Analysis!BG47)</f>
        <v>1</v>
      </c>
      <c r="F135" s="33" t="str">
        <f>IF(Analysis!A47="","",Analysis!AN47)</f>
        <v>Based on future design</v>
      </c>
      <c r="G135" s="33" t="str">
        <f>IF(Analysis!A47="","",Analysis!BA47)</f>
        <v>future project</v>
      </c>
      <c r="H135" s="34" t="str">
        <f>IF(Analysis!A47="","",Analysis!BJ47)</f>
        <v>CLIENT INPUT REQUIRED</v>
      </c>
      <c r="I135" s="33" t="str">
        <f>IF(Analysis!A47="","",Analysis!BK47)</f>
        <v>No specific plan</v>
      </c>
    </row>
    <row r="136" spans="1:9" ht="14.25" customHeight="1" x14ac:dyDescent="0.25">
      <c r="A136" s="32">
        <f>IF(Analysis!A48="","",Analysis!A48)</f>
        <v>45</v>
      </c>
      <c r="B136" s="33" t="str">
        <f>IF(Analysis!A48="","",Analysis!B48)</f>
        <v>Al Maqam &amp; Asharej</v>
      </c>
      <c r="C136" s="33" t="str">
        <f>IF(Analysis!A48="","",Analysis!C48)</f>
        <v>Al Maqam - Shabiyat Al Maqam</v>
      </c>
      <c r="D136" s="33" t="str">
        <f>IF(Analysis!A48="","",Analysis!F48)</f>
        <v>Very High</v>
      </c>
      <c r="E136" s="33" t="b">
        <f>IF(Analysis!A48="","",Analysis!BG48)</f>
        <v>1</v>
      </c>
      <c r="F136" s="33" t="str">
        <f>IF(Analysis!A48="","",Analysis!AN48)</f>
        <v>Upgrade Network</v>
      </c>
      <c r="G136" s="33" t="str">
        <f>IF(Analysis!A48="","",Analysis!BA48)</f>
        <v>Design phase</v>
      </c>
      <c r="H136" s="34">
        <f>IF(Analysis!A48="","",Analysis!BJ48)</f>
        <v>47088</v>
      </c>
      <c r="I136" s="33" t="str">
        <f>IF(Analysis!A48="","",Analysis!BK48)</f>
        <v>No specific plan</v>
      </c>
    </row>
    <row r="137" spans="1:9" ht="14.25" customHeight="1" x14ac:dyDescent="0.25">
      <c r="A137" s="32">
        <f>IF(Analysis!A49="","",Analysis!A49)</f>
        <v>46</v>
      </c>
      <c r="B137" s="33" t="str">
        <f>IF(Analysis!A49="","",Analysis!B49)</f>
        <v>Al Maqam &amp; Asharej</v>
      </c>
      <c r="C137" s="33" t="str">
        <f>IF(Analysis!A49="","",Analysis!C49)</f>
        <v>Al Urjuwan St, Al Maqam - Shabiyat Al Maqam</v>
      </c>
      <c r="D137" s="33" t="str">
        <f>IF(Analysis!A49="","",Analysis!F49)</f>
        <v>Very High</v>
      </c>
      <c r="E137" s="33" t="b">
        <f>IF(Analysis!A49="","",Analysis!BG49)</f>
        <v>1</v>
      </c>
      <c r="F137" s="33" t="str">
        <f>IF(Analysis!A49="","",Analysis!AN49)</f>
        <v>Upgrade Network</v>
      </c>
      <c r="G137" s="33" t="str">
        <f>IF(Analysis!A49="","",Analysis!BA49)</f>
        <v>Design phase</v>
      </c>
      <c r="H137" s="34">
        <f>IF(Analysis!A49="","",Analysis!BJ49)</f>
        <v>47088</v>
      </c>
      <c r="I137" s="33" t="str">
        <f>IF(Analysis!A49="","",Analysis!BK49)</f>
        <v>No specific plan</v>
      </c>
    </row>
    <row r="138" spans="1:9" ht="14.25" customHeight="1" x14ac:dyDescent="0.25">
      <c r="A138" s="32">
        <f>IF(Analysis!A50="","",Analysis!A50)</f>
        <v>47</v>
      </c>
      <c r="B138" s="33" t="str">
        <f>IF(Analysis!A50="","",Analysis!B50)</f>
        <v>Al Maqam &amp; Asharej (to be check or to removed)</v>
      </c>
      <c r="C138" s="33" t="str">
        <f>IF(Analysis!A50="","",Analysis!C50)</f>
        <v>Al Yasat St. Shabiyat Al Maqam, Al Maqam</v>
      </c>
      <c r="D138" s="33" t="str">
        <f>IF(Analysis!A50="","",Analysis!F50)</f>
        <v>Very High</v>
      </c>
      <c r="E138" s="33" t="b">
        <f>IF(Analysis!A50="","",Analysis!BG50)</f>
        <v>1</v>
      </c>
      <c r="F138" s="33" t="str">
        <f>IF(Analysis!A50="","",Analysis!AN50)</f>
        <v>Upgrade Network</v>
      </c>
      <c r="G138" s="33" t="str">
        <f>IF(Analysis!A50="","",Analysis!BA50)</f>
        <v>Design phase</v>
      </c>
      <c r="H138" s="34">
        <f>IF(Analysis!A50="","",Analysis!BJ50)</f>
        <v>47088</v>
      </c>
      <c r="I138" s="33" t="str">
        <f>IF(Analysis!A50="","",Analysis!BK50)</f>
        <v>No specific plan</v>
      </c>
    </row>
    <row r="139" spans="1:9" ht="14.25" customHeight="1" x14ac:dyDescent="0.25">
      <c r="A139" s="32">
        <f>IF(Analysis!A51="","",Analysis!A51)</f>
        <v>48</v>
      </c>
      <c r="B139" s="33" t="str">
        <f>IF(Analysis!A51="","",Analysis!B51)</f>
        <v>Al Maqam &amp; Asharej</v>
      </c>
      <c r="C139" s="33" t="str">
        <f>IF(Analysis!A51="","",Analysis!C51)</f>
        <v>151-149 Al Jawharah St, 'Asharij - Al Dafeinah</v>
      </c>
      <c r="D139" s="33" t="str">
        <f>IF(Analysis!A51="","",Analysis!F51)</f>
        <v>Very High</v>
      </c>
      <c r="E139" s="33" t="b">
        <f>IF(Analysis!A51="","",Analysis!BG51)</f>
        <v>1</v>
      </c>
      <c r="F139" s="33" t="str">
        <f>IF(Analysis!A51="","",Analysis!AN51)</f>
        <v>Based on future design</v>
      </c>
      <c r="G139" s="33" t="str">
        <f>IF(Analysis!A51="","",Analysis!BA51)</f>
        <v>future project</v>
      </c>
      <c r="H139" s="34" t="str">
        <f>IF(Analysis!A51="","",Analysis!BJ51)</f>
        <v>CLIENT INPUT REQUIRED</v>
      </c>
      <c r="I139" s="33" t="str">
        <f>IF(Analysis!A51="","",Analysis!BK51)</f>
        <v>No specific plan</v>
      </c>
    </row>
    <row r="140" spans="1:9" ht="14.25" customHeight="1" x14ac:dyDescent="0.25">
      <c r="A140" s="32">
        <f>IF(Analysis!A52="","",Analysis!A52)</f>
        <v>49</v>
      </c>
      <c r="B140" s="33" t="str">
        <f>IF(Analysis!A52="","",Analysis!B52)</f>
        <v xml:space="preserve">Al Maqam &amp; Asharej </v>
      </c>
      <c r="C140" s="33" t="str">
        <f>IF(Analysis!A52="","",Analysis!C52)</f>
        <v>Tawam Tunnel, Shabhanat Asharej, Al Muwaij'i</v>
      </c>
      <c r="D140" s="33" t="str">
        <f>IF(Analysis!A52="","",Analysis!F52)</f>
        <v>Very High</v>
      </c>
      <c r="E140" s="33" t="b">
        <f>IF(Analysis!A52="","",Analysis!BG52)</f>
        <v>1</v>
      </c>
      <c r="F140" s="33" t="str">
        <f>IF(Analysis!A52="","",Analysis!AN52)</f>
        <v>Upgrade Network</v>
      </c>
      <c r="G140" s="33" t="str">
        <f>IF(Analysis!A52="","",Analysis!BA52)</f>
        <v>Hand Over Phase</v>
      </c>
      <c r="H140" s="34" t="str">
        <f>IF(Analysis!A52="","",Analysis!BJ52)</f>
        <v>CLIENT INPUT REQUIRED</v>
      </c>
      <c r="I140" s="33" t="str">
        <f>IF(Analysis!A52="","",Analysis!BK52)</f>
        <v>No specific plan</v>
      </c>
    </row>
    <row r="141" spans="1:9" ht="14.25" customHeight="1" x14ac:dyDescent="0.25">
      <c r="A141" s="32">
        <f>IF(Analysis!A53="","",Analysis!A53)</f>
        <v>50</v>
      </c>
      <c r="B141" s="33" t="str">
        <f>IF(Analysis!A53="","",Analysis!B53)</f>
        <v>Al Maqam &amp; Asharej (to be added the tankers)</v>
      </c>
      <c r="C141" s="33" t="str">
        <f>IF(Analysis!A53="","",Analysis!C53)</f>
        <v>Asharej Tunnel, Khalifa Bin Zayed St,</v>
      </c>
      <c r="D141" s="33" t="str">
        <f>IF(Analysis!A53="","",Analysis!F53)</f>
        <v>Very High</v>
      </c>
      <c r="E141" s="33" t="b">
        <f>IF(Analysis!A53="","",Analysis!BG53)</f>
        <v>1</v>
      </c>
      <c r="F141" s="33" t="str">
        <f>IF(Analysis!A53="","",Analysis!AN53)</f>
        <v>Upgrade Network</v>
      </c>
      <c r="G141" s="33" t="str">
        <f>IF(Analysis!A53="","",Analysis!BA53)</f>
        <v>Hand Over Phase</v>
      </c>
      <c r="H141" s="34">
        <f>IF(Analysis!A53="","",Analysis!BJ53)</f>
        <v>44166</v>
      </c>
      <c r="I141" s="33" t="str">
        <f>IF(Analysis!A53="","",Analysis!BK53)</f>
        <v>No specific plan</v>
      </c>
    </row>
    <row r="142" spans="1:9" ht="14.25" customHeight="1" x14ac:dyDescent="0.25">
      <c r="A142" s="32">
        <f>IF(Analysis!A54="","",Analysis!A54)</f>
        <v>51</v>
      </c>
      <c r="B142" s="33" t="str">
        <f>IF(Analysis!A54="","",Analysis!B54)</f>
        <v>Al Maqam &amp; Asharej (confirmed to be add 1 no of Pump)</v>
      </c>
      <c r="C142" s="33" t="str">
        <f>IF(Analysis!A54="","",Analysis!C54)</f>
        <v>Bida Bin Ammar, Al Muwaij'i Area</v>
      </c>
      <c r="D142" s="33" t="str">
        <f>IF(Analysis!A54="","",Analysis!F54)</f>
        <v>Very High</v>
      </c>
      <c r="E142" s="33" t="b">
        <f>IF(Analysis!A54="","",Analysis!BG54)</f>
        <v>1</v>
      </c>
      <c r="F142" s="33" t="str">
        <f>IF(Analysis!A54="","",Analysis!AN54)</f>
        <v>Upgrade Network</v>
      </c>
      <c r="G142" s="33" t="str">
        <f>IF(Analysis!A54="","",Analysis!BA54)</f>
        <v>Design phase</v>
      </c>
      <c r="H142" s="34">
        <f>IF(Analysis!A54="","",Analysis!BJ54)</f>
        <v>47088</v>
      </c>
      <c r="I142" s="33" t="str">
        <f>IF(Analysis!A54="","",Analysis!BK54)</f>
        <v>No specific plan</v>
      </c>
    </row>
    <row r="143" spans="1:9" ht="21.75" customHeight="1" x14ac:dyDescent="0.25">
      <c r="A143" s="32">
        <f>IF(Analysis!A55="","",Analysis!A55)</f>
        <v>52</v>
      </c>
      <c r="B143" s="33" t="str">
        <f>IF(Analysis!A55="","",Analysis!B55)</f>
        <v>Al Maqam &amp; Asharej</v>
      </c>
      <c r="C143" s="35" t="str">
        <f>IF(Analysis!A55="","",Analysis!C55)</f>
        <v>Maitha Bint Mohammed St
'Asharij - Shiebat Al Oud - Abu</v>
      </c>
      <c r="D143" s="33" t="str">
        <f>IF(Analysis!A55="","",Analysis!F55)</f>
        <v>Very High</v>
      </c>
      <c r="E143" s="33" t="b">
        <f>IF(Analysis!A55="","",Analysis!BG55)</f>
        <v>1</v>
      </c>
      <c r="F143" s="33" t="str">
        <f>IF(Analysis!A55="","",Analysis!AN55)</f>
        <v>Based on future design</v>
      </c>
      <c r="G143" s="33" t="str">
        <f>IF(Analysis!A55="","",Analysis!BA55)</f>
        <v>future project</v>
      </c>
      <c r="H143" s="34" t="str">
        <f>IF(Analysis!A55="","",Analysis!BJ55)</f>
        <v>CLIENT INPUT REQUIRED</v>
      </c>
      <c r="I143" s="33" t="str">
        <f>IF(Analysis!A55="","",Analysis!BK55)</f>
        <v>No specific plan</v>
      </c>
    </row>
    <row r="144" spans="1:9" ht="14.25" customHeight="1" x14ac:dyDescent="0.25">
      <c r="A144" s="32">
        <f>IF(Analysis!A56="","",Analysis!A56)</f>
        <v>53</v>
      </c>
      <c r="B144" s="33" t="str">
        <f>IF(Analysis!A56="","",Analysis!B56)</f>
        <v>Al Mu'tarid</v>
      </c>
      <c r="C144" s="33" t="str">
        <f>IF(Analysis!A56="","",Analysis!C56)</f>
        <v>75-45 AI Siray St, Al Mu'tarid - Hai Al Wadi</v>
      </c>
      <c r="D144" s="33" t="str">
        <f>IF(Analysis!A56="","",Analysis!F56)</f>
        <v>Very High</v>
      </c>
      <c r="E144" s="33" t="b">
        <f>IF(Analysis!A56="","",Analysis!BG56)</f>
        <v>1</v>
      </c>
      <c r="F144" s="33" t="str">
        <f>IF(Analysis!A56="","",Analysis!AN56)</f>
        <v>Based on future design</v>
      </c>
      <c r="G144" s="33" t="str">
        <f>IF(Analysis!A56="","",Analysis!BA56)</f>
        <v>future project</v>
      </c>
      <c r="H144" s="34" t="str">
        <f>IF(Analysis!A56="","",Analysis!BJ56)</f>
        <v>CLIENT INPUT REQUIRED</v>
      </c>
      <c r="I144" s="33" t="str">
        <f>IF(Analysis!A56="","",Analysis!BK56)</f>
        <v>No specific plan</v>
      </c>
    </row>
    <row r="145" spans="1:9" ht="14.25" customHeight="1" x14ac:dyDescent="0.25">
      <c r="A145" s="32">
        <f>IF(Analysis!A57="","",Analysis!A57)</f>
        <v>54</v>
      </c>
      <c r="B145" s="33" t="str">
        <f>IF(Analysis!A57="","",Analysis!B57)</f>
        <v>Al Mu'tarid</v>
      </c>
      <c r="C145" s="33" t="str">
        <f>IF(Analysis!A57="","",Analysis!C57)</f>
        <v>Al Baladiyah St, Al Mu'tarid - Al Gellah</v>
      </c>
      <c r="D145" s="33" t="str">
        <f>IF(Analysis!A57="","",Analysis!F57)</f>
        <v>Very High</v>
      </c>
      <c r="E145" s="33" t="b">
        <f>IF(Analysis!A57="","",Analysis!BG57)</f>
        <v>1</v>
      </c>
      <c r="F145" s="33" t="str">
        <f>IF(Analysis!A57="","",Analysis!AN57)</f>
        <v>Based on future design</v>
      </c>
      <c r="G145" s="33" t="str">
        <f>IF(Analysis!A57="","",Analysis!BA57)</f>
        <v>future project</v>
      </c>
      <c r="H145" s="34" t="str">
        <f>IF(Analysis!A57="","",Analysis!BJ57)</f>
        <v>CLIENT INPUT REQUIRED</v>
      </c>
      <c r="I145" s="33" t="str">
        <f>IF(Analysis!A57="","",Analysis!BK57)</f>
        <v>No specific plan</v>
      </c>
    </row>
    <row r="146" spans="1:9" ht="14.25" customHeight="1" x14ac:dyDescent="0.25">
      <c r="A146" s="32">
        <f>IF(Analysis!A58="","",Analysis!A58)</f>
        <v>55</v>
      </c>
      <c r="B146" s="33" t="str">
        <f>IF(Analysis!A58="","",Analysis!B58)</f>
        <v>Al Mu'tarid</v>
      </c>
      <c r="C146" s="33" t="str">
        <f>IF(Analysis!A58="","",Analysis!C58)</f>
        <v>Al Jabal R/A Khalifa Bin Zayed St, Al Mu'tarid</v>
      </c>
      <c r="D146" s="33" t="str">
        <f>IF(Analysis!A58="","",Analysis!F58)</f>
        <v>Very High</v>
      </c>
      <c r="E146" s="33" t="b">
        <f>IF(Analysis!A58="","",Analysis!BG58)</f>
        <v>1</v>
      </c>
      <c r="F146" s="33" t="str">
        <f>IF(Analysis!A58="","",Analysis!AN58)</f>
        <v>Upgrade Underpass drainage system</v>
      </c>
      <c r="G146" s="33" t="str">
        <f>IF(Analysis!A58="","",Analysis!BA58)</f>
        <v>Design phase</v>
      </c>
      <c r="H146" s="34">
        <f>IF(Analysis!A58="","",Analysis!BJ58)</f>
        <v>46753</v>
      </c>
      <c r="I146" s="33" t="str">
        <f>IF(Analysis!A58="","",Analysis!BK58)</f>
        <v>No specific plan</v>
      </c>
    </row>
    <row r="147" spans="1:9" ht="14.25" customHeight="1" x14ac:dyDescent="0.25">
      <c r="A147" s="32">
        <f>IF(Analysis!A59="","",Analysis!A59)</f>
        <v>56</v>
      </c>
      <c r="B147" s="33" t="str">
        <f>IF(Analysis!A59="","",Analysis!B59)</f>
        <v>Al Mu'tarid</v>
      </c>
      <c r="C147" s="33" t="str">
        <f>IF(Analysis!A59="","",Analysis!C59)</f>
        <v>Mohammed Bin Khalifa St, Al Mu'tarid - Ramlat Aawad Shaheen</v>
      </c>
      <c r="D147" s="33" t="str">
        <f>IF(Analysis!A59="","",Analysis!F59)</f>
        <v>Very High</v>
      </c>
      <c r="E147" s="33" t="b">
        <f>IF(Analysis!A59="","",Analysis!BG59)</f>
        <v>1</v>
      </c>
      <c r="F147" s="33" t="str">
        <f>IF(Analysis!A59="","",Analysis!AN59)</f>
        <v>Upgrade Network</v>
      </c>
      <c r="G147" s="33" t="str">
        <f>IF(Analysis!A59="","",Analysis!BA59)</f>
        <v>Design phase</v>
      </c>
      <c r="H147" s="34">
        <f>IF(Analysis!A59="","",Analysis!BJ59)</f>
        <v>46905</v>
      </c>
      <c r="I147" s="33" t="str">
        <f>IF(Analysis!A59="","",Analysis!BK59)</f>
        <v>No specific plan</v>
      </c>
    </row>
    <row r="148" spans="1:9" ht="14.25" customHeight="1" x14ac:dyDescent="0.25">
      <c r="A148" s="32">
        <f>IF(Analysis!A60="","",Analysis!A60)</f>
        <v>57</v>
      </c>
      <c r="B148" s="33" t="str">
        <f>IF(Analysis!A60="","",Analysis!B60)</f>
        <v>Al Mu'tarid (to be removed)</v>
      </c>
      <c r="C148" s="33" t="str">
        <f>IF(Analysis!A60="","",Analysis!C60)</f>
        <v>Shakhboot Bin Sultan St, Al Mu'tarid</v>
      </c>
      <c r="D148" s="33" t="str">
        <f>IF(Analysis!A60="","",Analysis!F60)</f>
        <v>Very High</v>
      </c>
      <c r="E148" s="33" t="b">
        <f>IF(Analysis!A60="","",Analysis!BG60)</f>
        <v>1</v>
      </c>
      <c r="F148" s="33" t="str">
        <f>IF(Analysis!A60="","",Analysis!AN60)</f>
        <v>Upgrade Network</v>
      </c>
      <c r="G148" s="33" t="str">
        <f>IF(Analysis!A60="","",Analysis!BA60)</f>
        <v>Design phase</v>
      </c>
      <c r="H148" s="34">
        <f>IF(Analysis!A60="","",Analysis!BJ60)</f>
        <v>46905</v>
      </c>
      <c r="I148" s="33" t="str">
        <f>IF(Analysis!A60="","",Analysis!BK60)</f>
        <v>No specific plan</v>
      </c>
    </row>
    <row r="149" spans="1:9" ht="14.25" customHeight="1" x14ac:dyDescent="0.25">
      <c r="A149" s="32">
        <f>IF(Analysis!A61="","",Analysis!A61)</f>
        <v>58</v>
      </c>
      <c r="B149" s="33" t="str">
        <f>IF(Analysis!A61="","",Analysis!B61)</f>
        <v>Al Mu'tarid (to be added the tanker)</v>
      </c>
      <c r="C149" s="33" t="str">
        <f>IF(Analysis!A61="","",Analysis!C61)</f>
        <v>Al Radi St, Al Mu'tarid - Hai Al Jabal</v>
      </c>
      <c r="D149" s="33" t="str">
        <f>IF(Analysis!A61="","",Analysis!F61)</f>
        <v>Very High</v>
      </c>
      <c r="E149" s="33" t="b">
        <f>IF(Analysis!A61="","",Analysis!BG61)</f>
        <v>1</v>
      </c>
      <c r="F149" s="33" t="str">
        <f>IF(Analysis!A61="","",Analysis!AN61)</f>
        <v>Upgrade Network</v>
      </c>
      <c r="G149" s="33" t="str">
        <f>IF(Analysis!A61="","",Analysis!BA61)</f>
        <v>Hand Over Phase</v>
      </c>
      <c r="H149" s="34" t="str">
        <f>IF(Analysis!A61="","",Analysis!BJ61)</f>
        <v>CLIENT INPUT REQUIRED</v>
      </c>
      <c r="I149" s="33" t="str">
        <f>IF(Analysis!A61="","",Analysis!BK61)</f>
        <v>No specific plan</v>
      </c>
    </row>
    <row r="150" spans="1:9" ht="14.25" customHeight="1" x14ac:dyDescent="0.25">
      <c r="A150" s="32">
        <f>IF(Analysis!A62="","",Analysis!A62)</f>
        <v>59</v>
      </c>
      <c r="B150" s="33" t="str">
        <f>IF(Analysis!A62="","",Analysis!B62)</f>
        <v>Al Mu'tarid</v>
      </c>
      <c r="C150" s="33" t="str">
        <f>IF(Analysis!A62="","",Analysis!C62)</f>
        <v>Teebi St, Al Mu'tarid Area</v>
      </c>
      <c r="D150" s="33" t="str">
        <f>IF(Analysis!A62="","",Analysis!F62)</f>
        <v>Very High</v>
      </c>
      <c r="E150" s="33" t="b">
        <f>IF(Analysis!A62="","",Analysis!BG62)</f>
        <v>1</v>
      </c>
      <c r="F150" s="33" t="str">
        <f>IF(Analysis!A62="","",Analysis!AN62)</f>
        <v>Based on future design</v>
      </c>
      <c r="G150" s="33" t="str">
        <f>IF(Analysis!A62="","",Analysis!BA62)</f>
        <v>future project</v>
      </c>
      <c r="H150" s="34" t="str">
        <f>IF(Analysis!A62="","",Analysis!BJ62)</f>
        <v>CLIENT INPUT REQUIRED</v>
      </c>
      <c r="I150" s="33" t="str">
        <f>IF(Analysis!A62="","",Analysis!BK62)</f>
        <v>No specific plan</v>
      </c>
    </row>
    <row r="151" spans="1:9" ht="14.25" customHeight="1" x14ac:dyDescent="0.25">
      <c r="A151" s="32">
        <f>IF(Analysis!A63="","",Analysis!A63)</f>
        <v>60</v>
      </c>
      <c r="B151" s="33" t="str">
        <f>IF(Analysis!A63="","",Analysis!B63)</f>
        <v>Al Mu'tarid</v>
      </c>
      <c r="C151" s="33" t="str">
        <f>IF(Analysis!A63="","",Analysis!C63)</f>
        <v>Al Husoun St, Al Mu'tarid - Ugdat Al Muwaiji</v>
      </c>
      <c r="D151" s="33" t="str">
        <f>IF(Analysis!A63="","",Analysis!F63)</f>
        <v>Very High</v>
      </c>
      <c r="E151" s="33" t="b">
        <f>IF(Analysis!A63="","",Analysis!BG63)</f>
        <v>1</v>
      </c>
      <c r="F151" s="33" t="str">
        <f>IF(Analysis!A63="","",Analysis!AN63)</f>
        <v>Based on future design</v>
      </c>
      <c r="G151" s="33" t="str">
        <f>IF(Analysis!A63="","",Analysis!BA63)</f>
        <v>future project</v>
      </c>
      <c r="H151" s="34" t="str">
        <f>IF(Analysis!A63="","",Analysis!BJ63)</f>
        <v>CLIENT INPUT REQUIRED</v>
      </c>
      <c r="I151" s="33" t="str">
        <f>IF(Analysis!A63="","",Analysis!BK63)</f>
        <v>No specific plan</v>
      </c>
    </row>
    <row r="152" spans="1:9" ht="14.25" customHeight="1" x14ac:dyDescent="0.25">
      <c r="A152" s="32">
        <f>IF(Analysis!A64="","",Analysis!A64)</f>
        <v>61</v>
      </c>
      <c r="B152" s="33" t="str">
        <f>IF(Analysis!A64="","",Analysis!B64)</f>
        <v>Al Mu'tarid</v>
      </c>
      <c r="C152" s="33" t="str">
        <f>IF(Analysis!A64="","",Analysis!C64)</f>
        <v>Khalifa Bin Zayed The First St, Al Mu'tarid - Al Jizza</v>
      </c>
      <c r="D152" s="33" t="str">
        <f>IF(Analysis!A64="","",Analysis!F64)</f>
        <v>Very High</v>
      </c>
      <c r="E152" s="33" t="b">
        <f>IF(Analysis!A64="","",Analysis!BG64)</f>
        <v>1</v>
      </c>
      <c r="F152" s="33" t="str">
        <f>IF(Analysis!A64="","",Analysis!AN64)</f>
        <v>Based on future design</v>
      </c>
      <c r="G152" s="33" t="str">
        <f>IF(Analysis!A64="","",Analysis!BA64)</f>
        <v>future project</v>
      </c>
      <c r="H152" s="34" t="str">
        <f>IF(Analysis!A64="","",Analysis!BJ64)</f>
        <v>CLIENT INPUT REQUIRED</v>
      </c>
      <c r="I152" s="33" t="str">
        <f>IF(Analysis!A64="","",Analysis!BK64)</f>
        <v>No specific plan</v>
      </c>
    </row>
    <row r="153" spans="1:9" ht="14.25" customHeight="1" x14ac:dyDescent="0.25">
      <c r="A153" s="32">
        <f>IF(Analysis!A65="","",Analysis!A65)</f>
        <v>62</v>
      </c>
      <c r="B153" s="33" t="str">
        <f>IF(Analysis!A65="","",Analysis!B65)</f>
        <v>Al Jahili</v>
      </c>
      <c r="C153" s="33" t="str">
        <f>IF(Analysis!A65="","",Analysis!C65)</f>
        <v>Al Marayegh, Al Jahili Area</v>
      </c>
      <c r="D153" s="33" t="str">
        <f>IF(Analysis!A65="","",Analysis!F65)</f>
        <v>Medium</v>
      </c>
      <c r="E153" s="33" t="b">
        <f>IF(Analysis!A65="","",Analysis!BG65)</f>
        <v>1</v>
      </c>
      <c r="F153" s="33" t="str">
        <f>IF(Analysis!A65="","",Analysis!AN65)</f>
        <v>Based on future design</v>
      </c>
      <c r="G153" s="33" t="str">
        <f>IF(Analysis!A65="","",Analysis!BA65)</f>
        <v>future project</v>
      </c>
      <c r="H153" s="34" t="str">
        <f>IF(Analysis!A65="","",Analysis!BJ65)</f>
        <v>CLIENT INPUT REQUIRED</v>
      </c>
      <c r="I153" s="33" t="str">
        <f>IF(Analysis!A65="","",Analysis!BK65)</f>
        <v>No specific plan</v>
      </c>
    </row>
    <row r="154" spans="1:9" ht="14.25" customHeight="1" x14ac:dyDescent="0.25">
      <c r="A154" s="32">
        <f>IF(Analysis!A66="","",Analysis!A66)</f>
        <v>63</v>
      </c>
      <c r="B154" s="33" t="str">
        <f>IF(Analysis!A66="","",Analysis!B66)</f>
        <v>Al Muwaiji</v>
      </c>
      <c r="C154" s="33" t="str">
        <f>IF(Analysis!A66="","",Analysis!C66)</f>
        <v>Saeed Bin Shakhbout The First St, Al Muwaij'i - Majlood</v>
      </c>
      <c r="D154" s="33" t="str">
        <f>IF(Analysis!A66="","",Analysis!F66)</f>
        <v>High</v>
      </c>
      <c r="E154" s="33" t="b">
        <f>IF(Analysis!A66="","",Analysis!BG66)</f>
        <v>1</v>
      </c>
      <c r="F154" s="33" t="str">
        <f>IF(Analysis!A66="","",Analysis!AN66)</f>
        <v>Upgrade Network</v>
      </c>
      <c r="G154" s="33" t="str">
        <f>IF(Analysis!A66="","",Analysis!BA66)</f>
        <v>Hand Over Phase</v>
      </c>
      <c r="H154" s="34">
        <f>IF(Analysis!A66="","",Analysis!BJ66)</f>
        <v>46082</v>
      </c>
      <c r="I154" s="33" t="str">
        <f>IF(Analysis!A66="","",Analysis!BK66)</f>
        <v>No specific plan</v>
      </c>
    </row>
    <row r="155" spans="1:9" ht="14.25" customHeight="1" x14ac:dyDescent="0.25">
      <c r="A155" s="32">
        <f>IF(Analysis!A67="","",Analysis!A67)</f>
        <v>64</v>
      </c>
      <c r="B155" s="33" t="str">
        <f>IF(Analysis!A67="","",Analysis!B67)</f>
        <v>Al Muwaiji</v>
      </c>
      <c r="C155" s="33" t="str">
        <f>IF(Analysis!A67="","",Analysis!C67)</f>
        <v>Saeed Bin Shakhbout The First St, Al Muwaij'i - Al Ruwaikah</v>
      </c>
      <c r="D155" s="33" t="str">
        <f>IF(Analysis!A67="","",Analysis!F67)</f>
        <v>High</v>
      </c>
      <c r="E155" s="33" t="b">
        <f>IF(Analysis!A67="","",Analysis!BG67)</f>
        <v>1</v>
      </c>
      <c r="F155" s="33" t="str">
        <f>IF(Analysis!A67="","",Analysis!AN67)</f>
        <v>Upgrade Network</v>
      </c>
      <c r="G155" s="33" t="str">
        <f>IF(Analysis!A67="","",Analysis!BA67)</f>
        <v>Hand Over Phase</v>
      </c>
      <c r="H155" s="34">
        <f>IF(Analysis!A67="","",Analysis!BJ67)</f>
        <v>46082</v>
      </c>
      <c r="I155" s="33" t="str">
        <f>IF(Analysis!A67="","",Analysis!BK67)</f>
        <v>No specific plan</v>
      </c>
    </row>
    <row r="156" spans="1:9" ht="14.25" customHeight="1" x14ac:dyDescent="0.25">
      <c r="A156" s="32">
        <f>IF(Analysis!A68="","",Analysis!A68)</f>
        <v>65</v>
      </c>
      <c r="B156" s="33" t="str">
        <f>IF(Analysis!A68="","",Analysis!B68)</f>
        <v>Al Muwaiji</v>
      </c>
      <c r="C156" s="33" t="str">
        <f>IF(Analysis!A68="","",Analysis!C68)</f>
        <v>Maitha Bint Mohammed St, Al Muwaij'i - Deer Park</v>
      </c>
      <c r="D156" s="33" t="str">
        <f>IF(Analysis!A68="","",Analysis!F68)</f>
        <v>High</v>
      </c>
      <c r="E156" s="33" t="b">
        <f>IF(Analysis!A68="","",Analysis!BG68)</f>
        <v>1</v>
      </c>
      <c r="F156" s="33" t="str">
        <f>IF(Analysis!A68="","",Analysis!AN68)</f>
        <v>Upgrade Network</v>
      </c>
      <c r="G156" s="33" t="str">
        <f>IF(Analysis!A68="","",Analysis!BA68)</f>
        <v>Hand Over Phase</v>
      </c>
      <c r="H156" s="34" t="str">
        <f>IF(Analysis!A68="","",Analysis!BJ68)</f>
        <v>CLIENT INPUT REQUIRED</v>
      </c>
      <c r="I156" s="33" t="str">
        <f>IF(Analysis!A68="","",Analysis!BK68)</f>
        <v>No specific plan</v>
      </c>
    </row>
    <row r="157" spans="1:9" ht="14.25" customHeight="1" x14ac:dyDescent="0.25">
      <c r="A157" s="32">
        <f>IF(Analysis!A69="","",Analysis!A69)</f>
        <v>66</v>
      </c>
      <c r="B157" s="33" t="str">
        <f>IF(Analysis!A69="","",Analysis!B69)</f>
        <v>Al Nabbagh</v>
      </c>
      <c r="C157" s="33" t="str">
        <f>IF(Analysis!A69="","",Analysis!C69)</f>
        <v>Sibeitah, Al Nabbagh 66!</v>
      </c>
      <c r="D157" s="33" t="str">
        <f>IF(Analysis!A69="","",Analysis!F69)</f>
        <v>Medium</v>
      </c>
      <c r="E157" s="33" t="b">
        <f>IF(Analysis!A69="","",Analysis!BG69)</f>
        <v>1</v>
      </c>
      <c r="F157" s="33" t="str">
        <f>IF(Analysis!A69="","",Analysis!AN69)</f>
        <v>Upgrade Underpass drainage system</v>
      </c>
      <c r="G157" s="33" t="str">
        <f>IF(Analysis!A69="","",Analysis!BA69)</f>
        <v>Design phase</v>
      </c>
      <c r="H157" s="34">
        <f>IF(Analysis!A69="","",Analysis!BJ69)</f>
        <v>46753</v>
      </c>
      <c r="I157" s="33" t="str">
        <f>IF(Analysis!A69="","",Analysis!BK69)</f>
        <v>No specific plan</v>
      </c>
    </row>
    <row r="158" spans="1:9" ht="14.25" customHeight="1" x14ac:dyDescent="0.25">
      <c r="A158" s="32">
        <f>IF(Analysis!A70="","",Analysis!A70)</f>
        <v>67</v>
      </c>
      <c r="B158" s="33" t="str">
        <f>IF(Analysis!A70="","",Analysis!B70)</f>
        <v>Al Nabbagh</v>
      </c>
      <c r="C158" s="33" t="str">
        <f>IF(Analysis!A70="","",Analysis!C70)</f>
        <v>Lane 821, Al Nabbagh - Sibeitah</v>
      </c>
      <c r="D158" s="33" t="str">
        <f>IF(Analysis!A70="","",Analysis!F70)</f>
        <v>Medium</v>
      </c>
      <c r="E158" s="33" t="b">
        <f>IF(Analysis!A70="","",Analysis!BG70)</f>
        <v>1</v>
      </c>
      <c r="F158" s="33" t="str">
        <f>IF(Analysis!A70="","",Analysis!AN70)</f>
        <v>Pond/Side slope protection</v>
      </c>
      <c r="G158" s="33" t="str">
        <f>IF(Analysis!A70="","",Analysis!BA70)</f>
        <v>Design phase</v>
      </c>
      <c r="H158" s="34">
        <f>IF(Analysis!A70="","",Analysis!BJ70)</f>
        <v>46722</v>
      </c>
      <c r="I158" s="33" t="str">
        <f>IF(Analysis!A70="","",Analysis!BK70)</f>
        <v>No specific plan</v>
      </c>
    </row>
    <row r="159" spans="1:9" ht="14.25" customHeight="1" x14ac:dyDescent="0.25">
      <c r="A159" s="32">
        <f>IF(Analysis!A71="","",Analysis!A71)</f>
        <v>68</v>
      </c>
      <c r="B159" s="33" t="str">
        <f>IF(Analysis!A71="","",Analysis!B71)</f>
        <v>Al Qattarah</v>
      </c>
      <c r="C159" s="33" t="str">
        <f>IF(Analysis!A71="","",Analysis!C71)</f>
        <v>96-124 Al Dameed St, Al Qattarah - Al Mragha</v>
      </c>
      <c r="D159" s="33" t="str">
        <f>IF(Analysis!A71="","",Analysis!F71)</f>
        <v>Very High</v>
      </c>
      <c r="E159" s="33" t="b">
        <f>IF(Analysis!A71="","",Analysis!BG71)</f>
        <v>1</v>
      </c>
      <c r="F159" s="33" t="str">
        <f>IF(Analysis!A71="","",Analysis!AN71)</f>
        <v>Based on future design</v>
      </c>
      <c r="G159" s="33" t="str">
        <f>IF(Analysis!A71="","",Analysis!BA71)</f>
        <v>future project</v>
      </c>
      <c r="H159" s="34" t="str">
        <f>IF(Analysis!A71="","",Analysis!BJ71)</f>
        <v>CLIENT INPUT REQUIRED</v>
      </c>
      <c r="I159" s="33" t="str">
        <f>IF(Analysis!A71="","",Analysis!BK71)</f>
        <v>No specific plan</v>
      </c>
    </row>
    <row r="160" spans="1:9" ht="14.25" customHeight="1" x14ac:dyDescent="0.25">
      <c r="A160" s="32">
        <f>IF(Analysis!A72="","",Analysis!A72)</f>
        <v>69</v>
      </c>
      <c r="B160" s="33" t="str">
        <f>IF(Analysis!A72="","",Analysis!B72)</f>
        <v>Al Qattarah</v>
      </c>
      <c r="C160" s="33" t="str">
        <f>IF(Analysis!A72="","",Analysis!C72)</f>
        <v>96-124 Al Dameed St, Al Qattarah - Al Mragha</v>
      </c>
      <c r="D160" s="33" t="str">
        <f>IF(Analysis!A72="","",Analysis!F72)</f>
        <v>Very High</v>
      </c>
      <c r="E160" s="33" t="b">
        <f>IF(Analysis!A72="","",Analysis!BG72)</f>
        <v>1</v>
      </c>
      <c r="F160" s="33" t="str">
        <f>IF(Analysis!A72="","",Analysis!AN72)</f>
        <v>Based on future design</v>
      </c>
      <c r="G160" s="33" t="str">
        <f>IF(Analysis!A72="","",Analysis!BA72)</f>
        <v>future project</v>
      </c>
      <c r="H160" s="34" t="str">
        <f>IF(Analysis!A72="","",Analysis!BJ72)</f>
        <v>CLIENT INPUT REQUIRED</v>
      </c>
      <c r="I160" s="33" t="str">
        <f>IF(Analysis!A72="","",Analysis!BK72)</f>
        <v>No specific plan</v>
      </c>
    </row>
    <row r="161" spans="1:9" ht="14.25" customHeight="1" x14ac:dyDescent="0.25">
      <c r="A161" s="32">
        <f>IF(Analysis!A73="","",Analysis!A73)</f>
        <v>70</v>
      </c>
      <c r="B161" s="33" t="str">
        <f>IF(Analysis!A73="","",Analysis!B73)</f>
        <v>Al Qattarah</v>
      </c>
      <c r="C161" s="33" t="str">
        <f>IF(Analysis!A73="","",Analysis!C73)</f>
        <v>96-124 Al Dameed St, Al Qattarah - Al Mragha</v>
      </c>
      <c r="D161" s="33" t="str">
        <f>IF(Analysis!A73="","",Analysis!F73)</f>
        <v>Very High</v>
      </c>
      <c r="E161" s="33" t="b">
        <f>IF(Analysis!A73="","",Analysis!BG73)</f>
        <v>1</v>
      </c>
      <c r="F161" s="33" t="str">
        <f>IF(Analysis!A73="","",Analysis!AN73)</f>
        <v>Based on future design</v>
      </c>
      <c r="G161" s="33" t="str">
        <f>IF(Analysis!A73="","",Analysis!BA73)</f>
        <v>future project</v>
      </c>
      <c r="H161" s="34" t="str">
        <f>IF(Analysis!A73="","",Analysis!BJ73)</f>
        <v>CLIENT INPUT REQUIRED</v>
      </c>
      <c r="I161" s="33" t="str">
        <f>IF(Analysis!A73="","",Analysis!BK73)</f>
        <v>No specific plan</v>
      </c>
    </row>
    <row r="162" spans="1:9" ht="14.25" customHeight="1" x14ac:dyDescent="0.25">
      <c r="A162" s="32">
        <f>IF(Analysis!A74="","",Analysis!A74)</f>
        <v>71</v>
      </c>
      <c r="B162" s="33" t="str">
        <f>IF(Analysis!A74="","",Analysis!B74)</f>
        <v>Al Qattarah</v>
      </c>
      <c r="C162" s="33" t="str">
        <f>IF(Analysis!A74="","",Analysis!C74)</f>
        <v>Bani Yas St, Al Qattarah - Al Mergab</v>
      </c>
      <c r="D162" s="33" t="str">
        <f>IF(Analysis!A74="","",Analysis!F74)</f>
        <v>Very High</v>
      </c>
      <c r="E162" s="33" t="b">
        <f>IF(Analysis!A74="","",Analysis!BG74)</f>
        <v>1</v>
      </c>
      <c r="F162" s="33" t="str">
        <f>IF(Analysis!A74="","",Analysis!AN74)</f>
        <v>Upgrade Network</v>
      </c>
      <c r="G162" s="33" t="str">
        <f>IF(Analysis!A74="","",Analysis!BA74)</f>
        <v>Hand Over Phase</v>
      </c>
      <c r="H162" s="34">
        <f>IF(Analysis!A74="","",Analysis!BJ74)</f>
        <v>46082</v>
      </c>
      <c r="I162" s="33" t="str">
        <f>IF(Analysis!A74="","",Analysis!BK74)</f>
        <v>No specific plan</v>
      </c>
    </row>
    <row r="163" spans="1:9" ht="14.25" customHeight="1" x14ac:dyDescent="0.25">
      <c r="A163" s="32">
        <f>IF(Analysis!A75="","",Analysis!A75)</f>
        <v>72</v>
      </c>
      <c r="B163" s="33" t="str">
        <f>IF(Analysis!A75="","",Analysis!B75)</f>
        <v>Al Qattarah</v>
      </c>
      <c r="C163" s="33" t="str">
        <f>IF(Analysis!A75="","",Analysis!C75)</f>
        <v>alfurusia roundabout (Equestrianism)- Al Qattarah - Al Mergab</v>
      </c>
      <c r="D163" s="33" t="str">
        <f>IF(Analysis!A75="","",Analysis!F75)</f>
        <v>Very High</v>
      </c>
      <c r="E163" s="33" t="b">
        <f>IF(Analysis!A75="","",Analysis!BG75)</f>
        <v>1</v>
      </c>
      <c r="F163" s="33" t="str">
        <f>IF(Analysis!A75="","",Analysis!AN75)</f>
        <v>Upgrade Network</v>
      </c>
      <c r="G163" s="33" t="str">
        <f>IF(Analysis!A75="","",Analysis!BA75)</f>
        <v>Hand Over Phase</v>
      </c>
      <c r="H163" s="34">
        <f>IF(Analysis!A75="","",Analysis!BJ75)</f>
        <v>46082</v>
      </c>
      <c r="I163" s="33" t="str">
        <f>IF(Analysis!A75="","",Analysis!BK75)</f>
        <v>No specific plan</v>
      </c>
    </row>
    <row r="164" spans="1:9" ht="14.25" customHeight="1" x14ac:dyDescent="0.25">
      <c r="A164" s="32">
        <f>IF(Analysis!A76="","",Analysis!A76)</f>
        <v>73</v>
      </c>
      <c r="B164" s="33" t="str">
        <f>IF(Analysis!A76="","",Analysis!B76)</f>
        <v>Al Qattarah</v>
      </c>
      <c r="C164" s="33" t="str">
        <f>IF(Analysis!A76="","",Analysis!C76)</f>
        <v>Bani Yas St, Al Qattarah - Al Mergab</v>
      </c>
      <c r="D164" s="33" t="str">
        <f>IF(Analysis!A76="","",Analysis!F76)</f>
        <v>Very High</v>
      </c>
      <c r="E164" s="33" t="b">
        <f>IF(Analysis!A76="","",Analysis!BG76)</f>
        <v>1</v>
      </c>
      <c r="F164" s="33" t="str">
        <f>IF(Analysis!A76="","",Analysis!AN76)</f>
        <v>Upgrade Network</v>
      </c>
      <c r="G164" s="33" t="str">
        <f>IF(Analysis!A76="","",Analysis!BA76)</f>
        <v>Hand Over Phase</v>
      </c>
      <c r="H164" s="34">
        <f>IF(Analysis!A76="","",Analysis!BJ76)</f>
        <v>46082</v>
      </c>
      <c r="I164" s="33" t="str">
        <f>IF(Analysis!A76="","",Analysis!BK76)</f>
        <v>No specific plan</v>
      </c>
    </row>
    <row r="165" spans="1:9" ht="14.25" customHeight="1" x14ac:dyDescent="0.25">
      <c r="A165" s="32">
        <f>IF(Analysis!A77="","",Analysis!A77)</f>
        <v>74</v>
      </c>
      <c r="B165" s="33" t="str">
        <f>IF(Analysis!A77="","",Analysis!B77)</f>
        <v>Al Sarouj &amp; Al Noud</v>
      </c>
      <c r="C165" s="33" t="str">
        <f>IF(Analysis!A77="","",Analysis!C77)</f>
        <v>Al Qanadeel St, Al Sarouj - Al Harmoozi</v>
      </c>
      <c r="D165" s="33" t="str">
        <f>IF(Analysis!A77="","",Analysis!F77)</f>
        <v>Very High</v>
      </c>
      <c r="E165" s="33" t="b">
        <f>IF(Analysis!A77="","",Analysis!BG77)</f>
        <v>1</v>
      </c>
      <c r="F165" s="33" t="str">
        <f>IF(Analysis!A77="","",Analysis!AN77)</f>
        <v>Based on future design</v>
      </c>
      <c r="G165" s="33" t="str">
        <f>IF(Analysis!A77="","",Analysis!BA77)</f>
        <v>future project</v>
      </c>
      <c r="H165" s="34" t="str">
        <f>IF(Analysis!A77="","",Analysis!BJ77)</f>
        <v>CLIENT INPUT REQUIRED</v>
      </c>
      <c r="I165" s="33" t="str">
        <f>IF(Analysis!A77="","",Analysis!BK77)</f>
        <v>No specific plan</v>
      </c>
    </row>
    <row r="166" spans="1:9" ht="14.25" customHeight="1" x14ac:dyDescent="0.25">
      <c r="A166" s="32">
        <f>IF(Analysis!A78="","",Analysis!A78)</f>
        <v>75</v>
      </c>
      <c r="B166" s="33" t="str">
        <f>IF(Analysis!A78="","",Analysis!B78)</f>
        <v>Al Sarouj &amp; Al Noud</v>
      </c>
      <c r="C166" s="33" t="str">
        <f>IF(Analysis!A78="","",Analysis!C78)</f>
        <v xml:space="preserve">Al Harmoozi, Al Sarouj </v>
      </c>
      <c r="D166" s="33" t="str">
        <f>IF(Analysis!A78="","",Analysis!F78)</f>
        <v>Very High</v>
      </c>
      <c r="E166" s="33" t="b">
        <f>IF(Analysis!A78="","",Analysis!BG78)</f>
        <v>1</v>
      </c>
      <c r="F166" s="33" t="str">
        <f>IF(Analysis!A78="","",Analysis!AN78)</f>
        <v>Based on future design</v>
      </c>
      <c r="G166" s="33" t="str">
        <f>IF(Analysis!A78="","",Analysis!BA78)</f>
        <v>future project</v>
      </c>
      <c r="H166" s="34" t="str">
        <f>IF(Analysis!A78="","",Analysis!BJ78)</f>
        <v>CLIENT INPUT REQUIRED</v>
      </c>
      <c r="I166" s="33" t="str">
        <f>IF(Analysis!A78="","",Analysis!BK78)</f>
        <v>No specific plan</v>
      </c>
    </row>
    <row r="167" spans="1:9" ht="14.25" customHeight="1" x14ac:dyDescent="0.25">
      <c r="A167" s="32">
        <f>IF(Analysis!A79="","",Analysis!A79)</f>
        <v>76</v>
      </c>
      <c r="B167" s="33" t="str">
        <f>IF(Analysis!A79="","",Analysis!B79)</f>
        <v>Al Sarouj &amp; Al Noud</v>
      </c>
      <c r="C167" s="33" t="str">
        <f>IF(Analysis!A79="","",Analysis!C79)</f>
        <v>Hai Al Wadi, Al Sarouj</v>
      </c>
      <c r="D167" s="33" t="str">
        <f>IF(Analysis!A79="","",Analysis!F79)</f>
        <v>Very High</v>
      </c>
      <c r="E167" s="33" t="b">
        <f>IF(Analysis!A79="","",Analysis!BG79)</f>
        <v>1</v>
      </c>
      <c r="F167" s="33" t="str">
        <f>IF(Analysis!A79="","",Analysis!AN79)</f>
        <v>Based on future design</v>
      </c>
      <c r="G167" s="33" t="str">
        <f>IF(Analysis!A79="","",Analysis!BA79)</f>
        <v>future project</v>
      </c>
      <c r="H167" s="34" t="str">
        <f>IF(Analysis!A79="","",Analysis!BJ79)</f>
        <v>CLIENT INPUT REQUIRED</v>
      </c>
      <c r="I167" s="33" t="str">
        <f>IF(Analysis!A79="","",Analysis!BK79)</f>
        <v>No specific plan</v>
      </c>
    </row>
    <row r="168" spans="1:9" ht="14.25" customHeight="1" x14ac:dyDescent="0.25">
      <c r="A168" s="32">
        <f>IF(Analysis!A80="","",Analysis!A80)</f>
        <v>77</v>
      </c>
      <c r="B168" s="33" t="str">
        <f>IF(Analysis!A80="","",Analysis!B80)</f>
        <v>Al Sarouj &amp; Al Noud</v>
      </c>
      <c r="C168" s="33" t="str">
        <f>IF(Analysis!A80="","",Analysis!C80)</f>
        <v>Al Mashall, Al Sarouj</v>
      </c>
      <c r="D168" s="33" t="str">
        <f>IF(Analysis!A80="","",Analysis!F80)</f>
        <v>Very High</v>
      </c>
      <c r="E168" s="33" t="b">
        <f>IF(Analysis!A80="","",Analysis!BG80)</f>
        <v>1</v>
      </c>
      <c r="F168" s="33" t="str">
        <f>IF(Analysis!A80="","",Analysis!AN80)</f>
        <v>Based on future design</v>
      </c>
      <c r="G168" s="33" t="str">
        <f>IF(Analysis!A80="","",Analysis!BA80)</f>
        <v>future project</v>
      </c>
      <c r="H168" s="34" t="str">
        <f>IF(Analysis!A80="","",Analysis!BJ80)</f>
        <v>CLIENT INPUT REQUIRED</v>
      </c>
      <c r="I168" s="33" t="str">
        <f>IF(Analysis!A80="","",Analysis!BK80)</f>
        <v>No specific plan</v>
      </c>
    </row>
    <row r="169" spans="1:9" ht="14.25" customHeight="1" x14ac:dyDescent="0.25">
      <c r="A169" s="32">
        <f>IF(Analysis!A81="","",Analysis!A81)</f>
        <v>78</v>
      </c>
      <c r="B169" s="33" t="str">
        <f>IF(Analysis!A81="","",Analysis!B81)</f>
        <v>Al Sarouj &amp; Al Noud</v>
      </c>
      <c r="C169" s="33" t="str">
        <f>IF(Analysis!A81="","",Analysis!C81)</f>
        <v>Al Harmoozi, Al Sarouj</v>
      </c>
      <c r="D169" s="33" t="str">
        <f>IF(Analysis!A81="","",Analysis!F81)</f>
        <v>Very High</v>
      </c>
      <c r="E169" s="33" t="b">
        <f>IF(Analysis!A81="","",Analysis!BG81)</f>
        <v>1</v>
      </c>
      <c r="F169" s="33" t="str">
        <f>IF(Analysis!A81="","",Analysis!AN81)</f>
        <v>Based on future design</v>
      </c>
      <c r="G169" s="33" t="str">
        <f>IF(Analysis!A81="","",Analysis!BA81)</f>
        <v>future project</v>
      </c>
      <c r="H169" s="34" t="str">
        <f>IF(Analysis!A81="","",Analysis!BJ81)</f>
        <v>CLIENT INPUT REQUIRED</v>
      </c>
      <c r="I169" s="33" t="str">
        <f>IF(Analysis!A81="","",Analysis!BK81)</f>
        <v>No specific plan</v>
      </c>
    </row>
    <row r="170" spans="1:9" ht="14.25" customHeight="1" x14ac:dyDescent="0.25">
      <c r="A170" s="32">
        <f>IF(Analysis!A82="","",Analysis!A82)</f>
        <v>79</v>
      </c>
      <c r="B170" s="33" t="str">
        <f>IF(Analysis!A82="","",Analysis!B82)</f>
        <v>Al Sarouj &amp; Al Noud</v>
      </c>
      <c r="C170" s="33" t="str">
        <f>IF(Analysis!A82="","",Analysis!C82)</f>
        <v>29-23 Al Qutami St, Al Sarouj - Hai Al Wadi</v>
      </c>
      <c r="D170" s="33" t="str">
        <f>IF(Analysis!A82="","",Analysis!F82)</f>
        <v>Very High</v>
      </c>
      <c r="E170" s="33" t="b">
        <f>IF(Analysis!A82="","",Analysis!BG82)</f>
        <v>1</v>
      </c>
      <c r="F170" s="33" t="str">
        <f>IF(Analysis!A82="","",Analysis!AN82)</f>
        <v>Based on future design</v>
      </c>
      <c r="G170" s="33" t="str">
        <f>IF(Analysis!A82="","",Analysis!BA82)</f>
        <v>future project</v>
      </c>
      <c r="H170" s="34" t="str">
        <f>IF(Analysis!A82="","",Analysis!BJ82)</f>
        <v>CLIENT INPUT REQUIRED</v>
      </c>
      <c r="I170" s="33" t="str">
        <f>IF(Analysis!A82="","",Analysis!BK82)</f>
        <v>No specific plan</v>
      </c>
    </row>
    <row r="171" spans="1:9" ht="14.25" customHeight="1" x14ac:dyDescent="0.25">
      <c r="A171" s="32">
        <f>IF(Analysis!A83="","",Analysis!A83)</f>
        <v>80</v>
      </c>
      <c r="B171" s="33" t="str">
        <f>IF(Analysis!A83="","",Analysis!B83)</f>
        <v>Al Sarouj &amp; Al Noud</v>
      </c>
      <c r="C171" s="33" t="str">
        <f>IF(Analysis!A83="","",Analysis!C83)</f>
        <v>Al Mashall, Al Sarouj</v>
      </c>
      <c r="D171" s="33" t="str">
        <f>IF(Analysis!A83="","",Analysis!F83)</f>
        <v>Very High</v>
      </c>
      <c r="E171" s="33" t="b">
        <f>IF(Analysis!A83="","",Analysis!BG83)</f>
        <v>1</v>
      </c>
      <c r="F171" s="33" t="str">
        <f>IF(Analysis!A83="","",Analysis!AN83)</f>
        <v>Based on future design</v>
      </c>
      <c r="G171" s="33" t="str">
        <f>IF(Analysis!A83="","",Analysis!BA83)</f>
        <v>future project</v>
      </c>
      <c r="H171" s="34" t="str">
        <f>IF(Analysis!A83="","",Analysis!BJ83)</f>
        <v>CLIENT INPUT REQUIRED</v>
      </c>
      <c r="I171" s="33" t="str">
        <f>IF(Analysis!A83="","",Analysis!BK83)</f>
        <v>No specific plan</v>
      </c>
    </row>
    <row r="172" spans="1:9" ht="14.25" customHeight="1" x14ac:dyDescent="0.25">
      <c r="A172" s="32">
        <f>IF(Analysis!A84="","",Analysis!A84)</f>
        <v>81</v>
      </c>
      <c r="B172" s="33" t="str">
        <f>IF(Analysis!A84="","",Analysis!B84)</f>
        <v>Al Sarouj &amp; Al Noud</v>
      </c>
      <c r="C172" s="33" t="str">
        <f>IF(Analysis!A84="","",Analysis!C84)</f>
        <v>Zayed Bin Sultan St Hai Al Wadi, Al Sarouj</v>
      </c>
      <c r="D172" s="33" t="str">
        <f>IF(Analysis!A84="","",Analysis!F84)</f>
        <v>Very High</v>
      </c>
      <c r="E172" s="33" t="b">
        <f>IF(Analysis!A84="","",Analysis!BG84)</f>
        <v>1</v>
      </c>
      <c r="F172" s="33" t="str">
        <f>IF(Analysis!A84="","",Analysis!AN84)</f>
        <v>Based on future design</v>
      </c>
      <c r="G172" s="33" t="str">
        <f>IF(Analysis!A84="","",Analysis!BA84)</f>
        <v>future project</v>
      </c>
      <c r="H172" s="34" t="str">
        <f>IF(Analysis!A84="","",Analysis!BJ84)</f>
        <v>CLIENT INPUT REQUIRED</v>
      </c>
      <c r="I172" s="33" t="str">
        <f>IF(Analysis!A84="","",Analysis!BK84)</f>
        <v>No specific plan</v>
      </c>
    </row>
    <row r="173" spans="1:9" ht="14.25" customHeight="1" x14ac:dyDescent="0.25">
      <c r="A173" s="32">
        <f>IF(Analysis!A85="","",Analysis!A85)</f>
        <v>82</v>
      </c>
      <c r="B173" s="33" t="str">
        <f>IF(Analysis!A85="","",Analysis!B85)</f>
        <v>Al Sarouj &amp; Al Noud</v>
      </c>
      <c r="C173" s="33" t="str">
        <f>IF(Analysis!A85="","",Analysis!C85)</f>
        <v>Al Harmoozi, Al Sarouj</v>
      </c>
      <c r="D173" s="33" t="str">
        <f>IF(Analysis!A85="","",Analysis!F85)</f>
        <v>Very High</v>
      </c>
      <c r="E173" s="33" t="b">
        <f>IF(Analysis!A85="","",Analysis!BG85)</f>
        <v>1</v>
      </c>
      <c r="F173" s="33" t="str">
        <f>IF(Analysis!A85="","",Analysis!AN85)</f>
        <v>Upgrade Underpass drainage system</v>
      </c>
      <c r="G173" s="33" t="str">
        <f>IF(Analysis!A85="","",Analysis!BA85)</f>
        <v>Design phase</v>
      </c>
      <c r="H173" s="34">
        <f>IF(Analysis!A85="","",Analysis!BJ85)</f>
        <v>46783</v>
      </c>
      <c r="I173" s="33" t="str">
        <f>IF(Analysis!A85="","",Analysis!BK85)</f>
        <v>No specific plan</v>
      </c>
    </row>
    <row r="174" spans="1:9" ht="14.25" customHeight="1" x14ac:dyDescent="0.25">
      <c r="A174" s="32">
        <f>IF(Analysis!A86="","",Analysis!A86)</f>
        <v>83</v>
      </c>
      <c r="B174" s="33" t="str">
        <f>IF(Analysis!A86="","",Analysis!B86)</f>
        <v>Al Sarouj &amp; Al Noud</v>
      </c>
      <c r="C174" s="33" t="str">
        <f>IF(Analysis!A86="","",Analysis!C86)</f>
        <v>Truck R/A Wadi Al Ain 3, Al Noud</v>
      </c>
      <c r="D174" s="33" t="str">
        <f>IF(Analysis!A86="","",Analysis!F86)</f>
        <v>Very High</v>
      </c>
      <c r="E174" s="33" t="b">
        <f>IF(Analysis!A86="","",Analysis!BG86)</f>
        <v>1</v>
      </c>
      <c r="F174" s="33" t="str">
        <f>IF(Analysis!A86="","",Analysis!AN86)</f>
        <v>New Network</v>
      </c>
      <c r="G174" s="33" t="str">
        <f>IF(Analysis!A86="","",Analysis!BA86)</f>
        <v>Design phase</v>
      </c>
      <c r="H174" s="34" t="str">
        <f>IF(Analysis!A86="","",Analysis!BJ86)</f>
        <v>CLIENT INPUT REQUIRED</v>
      </c>
      <c r="I174" s="33" t="str">
        <f>IF(Analysis!A86="","",Analysis!BK86)</f>
        <v>No specific plan</v>
      </c>
    </row>
    <row r="175" spans="1:9" ht="14.25" customHeight="1" x14ac:dyDescent="0.25">
      <c r="A175" s="32">
        <f>IF(Analysis!A87="","",Analysis!A87)</f>
        <v>84</v>
      </c>
      <c r="B175" s="33" t="str">
        <f>IF(Analysis!A87="","",Analysis!B87)</f>
        <v>Al Sarouj &amp; Al Noud</v>
      </c>
      <c r="C175" s="33" t="str">
        <f>IF(Analysis!A87="","",Analysis!C87)</f>
        <v>ADNOC Station, Wadi Al Ain 2, Al Noud</v>
      </c>
      <c r="D175" s="33" t="str">
        <f>IF(Analysis!A87="","",Analysis!F87)</f>
        <v>Very High</v>
      </c>
      <c r="E175" s="33" t="b">
        <f>IF(Analysis!A87="","",Analysis!BG87)</f>
        <v>1</v>
      </c>
      <c r="F175" s="33" t="str">
        <f>IF(Analysis!A87="","",Analysis!AN87)</f>
        <v>New Network</v>
      </c>
      <c r="G175" s="33" t="str">
        <f>IF(Analysis!A87="","",Analysis!BA87)</f>
        <v>Implementation phase</v>
      </c>
      <c r="H175" s="34" t="str">
        <f>IF(Analysis!A87="","",Analysis!BJ87)</f>
        <v>CLIENT INPUT REQUIRED</v>
      </c>
      <c r="I175" s="33" t="str">
        <f>IF(Analysis!A87="","",Analysis!BK87)</f>
        <v>No specific plan</v>
      </c>
    </row>
    <row r="176" spans="1:9" ht="14.25" customHeight="1" x14ac:dyDescent="0.25">
      <c r="A176" s="32">
        <f>IF(Analysis!A88="","",Analysis!A88)</f>
        <v>85</v>
      </c>
      <c r="B176" s="33" t="str">
        <f>IF(Analysis!A88="","",Analysis!B88)</f>
        <v>Al Shiwayb</v>
      </c>
      <c r="C176" s="33" t="str">
        <f>IF(Analysis!A88="","",Analysis!C88)</f>
        <v>AL SHWAIB FAMILY PARK</v>
      </c>
      <c r="D176" s="33" t="str">
        <f>IF(Analysis!A88="","",Analysis!F88)</f>
        <v>High</v>
      </c>
      <c r="E176" s="33" t="b">
        <f>IF(Analysis!A88="","",Analysis!BG88)</f>
        <v>1</v>
      </c>
      <c r="F176" s="33" t="str">
        <f>IF(Analysis!A88="","",Analysis!AN88)</f>
        <v>Based on future design</v>
      </c>
      <c r="G176" s="33" t="str">
        <f>IF(Analysis!A88="","",Analysis!BA88)</f>
        <v>future project</v>
      </c>
      <c r="H176" s="34" t="str">
        <f>IF(Analysis!A88="","",Analysis!BJ88)</f>
        <v>CLIENT INPUT REQUIRED</v>
      </c>
      <c r="I176" s="33" t="str">
        <f>IF(Analysis!A88="","",Analysis!BK88)</f>
        <v>No specific plan</v>
      </c>
    </row>
    <row r="177" spans="1:9" ht="14.25" customHeight="1" x14ac:dyDescent="0.25">
      <c r="A177" s="32">
        <f>IF(Analysis!A89="","",Analysis!A89)</f>
        <v>86</v>
      </c>
      <c r="B177" s="33" t="str">
        <f>IF(Analysis!A89="","",Analysis!B89)</f>
        <v>Al Shiwayb</v>
      </c>
      <c r="C177" s="33" t="str">
        <f>IF(Analysis!A89="","",Analysis!C89)</f>
        <v>Ramlat Al Shuwaib, Al Shiwayb</v>
      </c>
      <c r="D177" s="33" t="str">
        <f>IF(Analysis!A89="","",Analysis!F89)</f>
        <v>High</v>
      </c>
      <c r="E177" s="33" t="b">
        <f>IF(Analysis!A89="","",Analysis!BG89)</f>
        <v>1</v>
      </c>
      <c r="F177" s="33" t="str">
        <f>IF(Analysis!A89="","",Analysis!AN89)</f>
        <v>Pond/Side slope protection</v>
      </c>
      <c r="G177" s="33" t="str">
        <f>IF(Analysis!A89="","",Analysis!BA89)</f>
        <v>Implementation phase</v>
      </c>
      <c r="H177" s="34">
        <f>IF(Analysis!A89="","",Analysis!BJ89)</f>
        <v>46204</v>
      </c>
      <c r="I177" s="33" t="str">
        <f>IF(Analysis!A89="","",Analysis!BK89)</f>
        <v>No specific plan</v>
      </c>
    </row>
    <row r="178" spans="1:9" ht="14.25" customHeight="1" x14ac:dyDescent="0.25">
      <c r="A178" s="32">
        <f>IF(Analysis!A90="","",Analysis!A90)</f>
        <v>87</v>
      </c>
      <c r="B178" s="33" t="str">
        <f>IF(Analysis!A90="","",Analysis!B90)</f>
        <v>Al Shiwayb</v>
      </c>
      <c r="C178" s="33" t="str">
        <f>IF(Analysis!A90="","",Analysis!C90)</f>
        <v>Al Shiwayb Rd, Al Shiwayb</v>
      </c>
      <c r="D178" s="33" t="str">
        <f>IF(Analysis!A90="","",Analysis!F90)</f>
        <v>High</v>
      </c>
      <c r="E178" s="33" t="b">
        <f>IF(Analysis!A90="","",Analysis!BG90)</f>
        <v>1</v>
      </c>
      <c r="F178" s="33" t="str">
        <f>IF(Analysis!A90="","",Analysis!AN90)</f>
        <v>Pond/Side slope protection</v>
      </c>
      <c r="G178" s="33" t="str">
        <f>IF(Analysis!A90="","",Analysis!BA90)</f>
        <v>Implementation phase</v>
      </c>
      <c r="H178" s="34">
        <f>IF(Analysis!A90="","",Analysis!BJ90)</f>
        <v>46204</v>
      </c>
      <c r="I178" s="33" t="str">
        <f>IF(Analysis!A90="","",Analysis!BK90)</f>
        <v>No specific plan</v>
      </c>
    </row>
    <row r="179" spans="1:9" ht="14.25" customHeight="1" x14ac:dyDescent="0.25">
      <c r="A179" s="32">
        <f>IF(Analysis!A91="","",Analysis!A91)</f>
        <v>88</v>
      </c>
      <c r="B179" s="33" t="str">
        <f>IF(Analysis!A91="","",Analysis!B91)</f>
        <v>Al Shiwayb</v>
      </c>
      <c r="C179" s="33" t="str">
        <f>IF(Analysis!A91="","",Analysis!C91)</f>
        <v>Shibak 2, Al Shiwayb Rd.</v>
      </c>
      <c r="D179" s="33" t="str">
        <f>IF(Analysis!A91="","",Analysis!F91)</f>
        <v>High</v>
      </c>
      <c r="E179" s="33" t="b">
        <f>IF(Analysis!A91="","",Analysis!BG91)</f>
        <v>1</v>
      </c>
      <c r="F179" s="33" t="str">
        <f>IF(Analysis!A91="","",Analysis!AN91)</f>
        <v>Based on future design</v>
      </c>
      <c r="G179" s="33" t="str">
        <f>IF(Analysis!A91="","",Analysis!BA91)</f>
        <v>future project</v>
      </c>
      <c r="H179" s="34" t="str">
        <f>IF(Analysis!A91="","",Analysis!BJ91)</f>
        <v>CLIENT INPUT REQUIRED</v>
      </c>
      <c r="I179" s="33" t="str">
        <f>IF(Analysis!A91="","",Analysis!BK91)</f>
        <v>No specific plan</v>
      </c>
    </row>
    <row r="180" spans="1:9" ht="14.25" customHeight="1" x14ac:dyDescent="0.25">
      <c r="A180" s="32">
        <f>IF(Analysis!A92="","",Analysis!A92)</f>
        <v>89</v>
      </c>
      <c r="B180" s="33" t="str">
        <f>IF(Analysis!A92="","",Analysis!B92)</f>
        <v>Al Tiwayya</v>
      </c>
      <c r="C180" s="33" t="str">
        <f>IF(Analysis!A92="","",Analysis!C92)</f>
        <v>6-8 Al Mu'attar St, Al Markhaniyyah - Muaifaa</v>
      </c>
      <c r="D180" s="33" t="str">
        <f>IF(Analysis!A92="","",Analysis!F92)</f>
        <v>Medium</v>
      </c>
      <c r="E180" s="33" t="b">
        <f>IF(Analysis!A92="","",Analysis!BG92)</f>
        <v>1</v>
      </c>
      <c r="F180" s="33" t="str">
        <f>IF(Analysis!A92="","",Analysis!AN92)</f>
        <v>Based on future design</v>
      </c>
      <c r="G180" s="33" t="str">
        <f>IF(Analysis!A92="","",Analysis!BA92)</f>
        <v>future project</v>
      </c>
      <c r="H180" s="34" t="str">
        <f>IF(Analysis!A92="","",Analysis!BJ92)</f>
        <v>CLIENT INPUT REQUIRED</v>
      </c>
      <c r="I180" s="33" t="str">
        <f>IF(Analysis!A92="","",Analysis!BK92)</f>
        <v>No specific plan</v>
      </c>
    </row>
    <row r="181" spans="1:9" ht="14.25" customHeight="1" x14ac:dyDescent="0.25">
      <c r="A181" s="32">
        <f>IF(Analysis!A93="","",Analysis!A93)</f>
        <v>90</v>
      </c>
      <c r="B181" s="33" t="str">
        <f>IF(Analysis!A93="","",Analysis!B93)</f>
        <v xml:space="preserve">Al Tiwayya </v>
      </c>
      <c r="C181" s="33" t="str">
        <f>IF(Analysis!A93="","",Analysis!C93)</f>
        <v>Jafeer Obaid, Al Tiwayya</v>
      </c>
      <c r="D181" s="33" t="str">
        <f>IF(Analysis!A93="","",Analysis!F93)</f>
        <v>Medium</v>
      </c>
      <c r="E181" s="33" t="b">
        <f>IF(Analysis!A93="","",Analysis!BG93)</f>
        <v>1</v>
      </c>
      <c r="F181" s="33" t="str">
        <f>IF(Analysis!A93="","",Analysis!AN93)</f>
        <v>Upgrade Network</v>
      </c>
      <c r="G181" s="33" t="str">
        <f>IF(Analysis!A93="","",Analysis!BA93)</f>
        <v>Implementation phase</v>
      </c>
      <c r="H181" s="34">
        <f>IF(Analysis!A93="","",Analysis!BJ93)</f>
        <v>46357</v>
      </c>
      <c r="I181" s="33" t="str">
        <f>IF(Analysis!A93="","",Analysis!BK93)</f>
        <v>No specific plan</v>
      </c>
    </row>
    <row r="182" spans="1:9" ht="14.25" customHeight="1" x14ac:dyDescent="0.25">
      <c r="A182" s="32">
        <f>IF(Analysis!A94="","",Analysis!A94)</f>
        <v>91</v>
      </c>
      <c r="B182" s="33" t="str">
        <f>IF(Analysis!A94="","",Analysis!B94)</f>
        <v>Al Tiwayya</v>
      </c>
      <c r="C182" s="33" t="str">
        <f>IF(Analysis!A94="","",Analysis!C94)</f>
        <v>Ras Ash Sheikh St, Al Tiwayya - Eidan Al Ridda</v>
      </c>
      <c r="D182" s="33" t="str">
        <f>IF(Analysis!A94="","",Analysis!F94)</f>
        <v>Medium</v>
      </c>
      <c r="E182" s="33" t="b">
        <f>IF(Analysis!A94="","",Analysis!BG94)</f>
        <v>1</v>
      </c>
      <c r="F182" s="33" t="str">
        <f>IF(Analysis!A94="","",Analysis!AN94)</f>
        <v>Upgrade Network</v>
      </c>
      <c r="G182" s="33" t="str">
        <f>IF(Analysis!A94="","",Analysis!BA94)</f>
        <v>Implementation phase</v>
      </c>
      <c r="H182" s="34">
        <f>IF(Analysis!A94="","",Analysis!BJ94)</f>
        <v>46357</v>
      </c>
      <c r="I182" s="33" t="str">
        <f>IF(Analysis!A94="","",Analysis!BK94)</f>
        <v>No specific plan</v>
      </c>
    </row>
    <row r="183" spans="1:9" ht="14.25" customHeight="1" x14ac:dyDescent="0.25">
      <c r="A183" s="32">
        <f>IF(Analysis!A95="","",Analysis!A95)</f>
        <v>92</v>
      </c>
      <c r="B183" s="33" t="str">
        <f>IF(Analysis!A95="","",Analysis!B95)</f>
        <v>Al Tiwayya</v>
      </c>
      <c r="C183" s="33" t="str">
        <f>IF(Analysis!A95="","",Analysis!C95)</f>
        <v>Eidan Al Jareh, Al Tiwayya Area</v>
      </c>
      <c r="D183" s="33" t="str">
        <f>IF(Analysis!A95="","",Analysis!F95)</f>
        <v>Medium</v>
      </c>
      <c r="E183" s="33" t="b">
        <f>IF(Analysis!A95="","",Analysis!BG95)</f>
        <v>1</v>
      </c>
      <c r="F183" s="33" t="str">
        <f>IF(Analysis!A95="","",Analysis!AN95)</f>
        <v>Upgrade Network</v>
      </c>
      <c r="G183" s="33" t="str">
        <f>IF(Analysis!A95="","",Analysis!BA95)</f>
        <v>Hand Over Phase</v>
      </c>
      <c r="H183" s="34" t="str">
        <f>IF(Analysis!A95="","",Analysis!BJ95)</f>
        <v>CLIENT INPUT REQUIRED</v>
      </c>
      <c r="I183" s="33" t="str">
        <f>IF(Analysis!A95="","",Analysis!BK95)</f>
        <v>No specific plan</v>
      </c>
    </row>
    <row r="184" spans="1:9" ht="14.25" customHeight="1" x14ac:dyDescent="0.25">
      <c r="A184" s="32">
        <f>IF(Analysis!A96="","",Analysis!A96)</f>
        <v>93</v>
      </c>
      <c r="B184" s="33" t="str">
        <f>IF(Analysis!A96="","",Analysis!B96)</f>
        <v>Al Wiqan</v>
      </c>
      <c r="C184" s="33" t="str">
        <f>IF(Analysis!A96="","",Analysis!C96)</f>
        <v>Um Az Zumoul Rd, Al Wiqan - Saq Al Awir</v>
      </c>
      <c r="D184" s="33" t="str">
        <f>IF(Analysis!A96="","",Analysis!F96)</f>
        <v>Very High</v>
      </c>
      <c r="E184" s="33" t="b">
        <f>IF(Analysis!A96="","",Analysis!BG96)</f>
        <v>1</v>
      </c>
      <c r="F184" s="33" t="str">
        <f>IF(Analysis!A96="","",Analysis!AN96)</f>
        <v>Based on future design</v>
      </c>
      <c r="G184" s="33" t="str">
        <f>IF(Analysis!A96="","",Analysis!BA96)</f>
        <v>future project</v>
      </c>
      <c r="H184" s="34" t="str">
        <f>IF(Analysis!A96="","",Analysis!BJ96)</f>
        <v>CLIENT INPUT REQUIRED</v>
      </c>
      <c r="I184" s="33" t="str">
        <f>IF(Analysis!A96="","",Analysis!BK96)</f>
        <v>No specific plan</v>
      </c>
    </row>
    <row r="185" spans="1:9" ht="14.25" customHeight="1" x14ac:dyDescent="0.25">
      <c r="A185" s="32">
        <f>IF(Analysis!A97="","",Analysis!A97)</f>
        <v>94</v>
      </c>
      <c r="B185" s="33" t="str">
        <f>IF(Analysis!A97="","",Analysis!B97)</f>
        <v>Al Wiqan</v>
      </c>
      <c r="C185" s="33" t="str">
        <f>IF(Analysis!A97="","",Analysis!C97)</f>
        <v>26th St, Al Wiqan - Al Sayh</v>
      </c>
      <c r="D185" s="33" t="str">
        <f>IF(Analysis!A97="","",Analysis!F97)</f>
        <v>Very High</v>
      </c>
      <c r="E185" s="33" t="b">
        <f>IF(Analysis!A97="","",Analysis!BG97)</f>
        <v>1</v>
      </c>
      <c r="F185" s="33" t="str">
        <f>IF(Analysis!A97="","",Analysis!AN97)</f>
        <v>Based on future design</v>
      </c>
      <c r="G185" s="33" t="str">
        <f>IF(Analysis!A97="","",Analysis!BA97)</f>
        <v>future project</v>
      </c>
      <c r="H185" s="34" t="str">
        <f>IF(Analysis!A97="","",Analysis!BJ97)</f>
        <v>CLIENT INPUT REQUIRED</v>
      </c>
      <c r="I185" s="33" t="str">
        <f>IF(Analysis!A97="","",Analysis!BK97)</f>
        <v>No specific plan</v>
      </c>
    </row>
    <row r="186" spans="1:9" ht="14.25" customHeight="1" x14ac:dyDescent="0.25">
      <c r="A186" s="32">
        <f>IF(Analysis!A98="","",Analysis!A98)</f>
        <v>95</v>
      </c>
      <c r="B186" s="33" t="str">
        <f>IF(Analysis!A98="","",Analysis!B98)</f>
        <v>Al Wiqan</v>
      </c>
      <c r="C186" s="33" t="str">
        <f>IF(Analysis!A98="","",Analysis!C98)</f>
        <v>Al Muhallab St, Al Wiqan - Ramlat Addimah</v>
      </c>
      <c r="D186" s="33" t="str">
        <f>IF(Analysis!A98="","",Analysis!F98)</f>
        <v>Very High</v>
      </c>
      <c r="E186" s="33" t="b">
        <f>IF(Analysis!A98="","",Analysis!BG98)</f>
        <v>1</v>
      </c>
      <c r="F186" s="33" t="str">
        <f>IF(Analysis!A98="","",Analysis!AN98)</f>
        <v>Based on future design</v>
      </c>
      <c r="G186" s="33" t="str">
        <f>IF(Analysis!A98="","",Analysis!BA98)</f>
        <v>future project</v>
      </c>
      <c r="H186" s="34" t="str">
        <f>IF(Analysis!A98="","",Analysis!BJ98)</f>
        <v>CLIENT INPUT REQUIRED</v>
      </c>
      <c r="I186" s="33" t="str">
        <f>IF(Analysis!A98="","",Analysis!BK98)</f>
        <v>No specific plan</v>
      </c>
    </row>
    <row r="187" spans="1:9" ht="14.25" customHeight="1" x14ac:dyDescent="0.25">
      <c r="A187" s="32">
        <f>IF(Analysis!A99="","",Analysis!A99)</f>
        <v>96</v>
      </c>
      <c r="B187" s="33" t="str">
        <f>IF(Analysis!A99="","",Analysis!B99)</f>
        <v>Al Quo'a</v>
      </c>
      <c r="C187" s="33" t="str">
        <f>IF(Analysis!A99="","",Analysis!C99)</f>
        <v>40th St, Al Qou' - Al Quo'a Town</v>
      </c>
      <c r="D187" s="33" t="str">
        <f>IF(Analysis!A99="","",Analysis!F99)</f>
        <v>High</v>
      </c>
      <c r="E187" s="33" t="b">
        <f>IF(Analysis!A99="","",Analysis!BG99)</f>
        <v>1</v>
      </c>
      <c r="F187" s="33" t="str">
        <f>IF(Analysis!A99="","",Analysis!AN99)</f>
        <v>Based on future design</v>
      </c>
      <c r="G187" s="33" t="str">
        <f>IF(Analysis!A99="","",Analysis!BA99)</f>
        <v>future project</v>
      </c>
      <c r="H187" s="34" t="str">
        <f>IF(Analysis!A99="","",Analysis!BJ99)</f>
        <v>CLIENT INPUT REQUIRED</v>
      </c>
      <c r="I187" s="33" t="str">
        <f>IF(Analysis!A99="","",Analysis!BK99)</f>
        <v>No specific plan</v>
      </c>
    </row>
    <row r="188" spans="1:9" ht="14.25" customHeight="1" x14ac:dyDescent="0.25">
      <c r="A188" s="32">
        <f>IF(Analysis!A100="","",Analysis!A100)</f>
        <v>97</v>
      </c>
      <c r="B188" s="33" t="str">
        <f>IF(Analysis!A100="","",Analysis!B100)</f>
        <v>Central District</v>
      </c>
      <c r="C188" s="33" t="str">
        <f>IF(Analysis!A100="","",Analysis!C100)</f>
        <v>25 Al Mandhour St, Central District - Hai Al Murabbaa</v>
      </c>
      <c r="D188" s="33" t="str">
        <f>IF(Analysis!A100="","",Analysis!F100)</f>
        <v>Very High</v>
      </c>
      <c r="E188" s="33" t="b">
        <f>IF(Analysis!A100="","",Analysis!BG100)</f>
        <v>1</v>
      </c>
      <c r="F188" s="33" t="str">
        <f>IF(Analysis!A100="","",Analysis!AN100)</f>
        <v>Upgrade Network</v>
      </c>
      <c r="G188" s="33" t="str">
        <f>IF(Analysis!A100="","",Analysis!BA100)</f>
        <v>Design phase</v>
      </c>
      <c r="H188" s="34">
        <f>IF(Analysis!A100="","",Analysis!BJ100)</f>
        <v>47088</v>
      </c>
      <c r="I188" s="33" t="str">
        <f>IF(Analysis!A100="","",Analysis!BK100)</f>
        <v>No specific plan</v>
      </c>
    </row>
    <row r="189" spans="1:9" ht="14.25" customHeight="1" x14ac:dyDescent="0.25">
      <c r="A189" s="32">
        <f>IF(Analysis!A101="","",Analysis!A101)</f>
        <v>98</v>
      </c>
      <c r="B189" s="33" t="str">
        <f>IF(Analysis!A101="","",Analysis!B101)</f>
        <v>Central District</v>
      </c>
      <c r="C189" s="33" t="str">
        <f>IF(Analysis!A101="","",Analysis!C101)</f>
        <v>AI Mut-haf St, Central District - Hai Al Hisn</v>
      </c>
      <c r="D189" s="33" t="str">
        <f>IF(Analysis!A101="","",Analysis!F101)</f>
        <v>Very High</v>
      </c>
      <c r="E189" s="33" t="b">
        <f>IF(Analysis!A101="","",Analysis!BG101)</f>
        <v>1</v>
      </c>
      <c r="F189" s="33" t="str">
        <f>IF(Analysis!A101="","",Analysis!AN101)</f>
        <v>Based on future design</v>
      </c>
      <c r="G189" s="33" t="str">
        <f>IF(Analysis!A101="","",Analysis!BA101)</f>
        <v>future project</v>
      </c>
      <c r="H189" s="34" t="str">
        <f>IF(Analysis!A101="","",Analysis!BJ101)</f>
        <v>CLIENT INPUT REQUIRED</v>
      </c>
      <c r="I189" s="33" t="str">
        <f>IF(Analysis!A101="","",Analysis!BK101)</f>
        <v>No specific plan</v>
      </c>
    </row>
    <row r="190" spans="1:9" ht="14.25" customHeight="1" x14ac:dyDescent="0.25">
      <c r="A190" s="32">
        <f>IF(Analysis!A102="","",Analysis!A102)</f>
        <v>99</v>
      </c>
      <c r="B190" s="33" t="str">
        <f>IF(Analysis!A102="","",Analysis!B102)</f>
        <v>Central District</v>
      </c>
      <c r="C190" s="33" t="str">
        <f>IF(Analysis!A102="","",Analysis!C102)</f>
        <v>Al Ain Oasis, Central District</v>
      </c>
      <c r="D190" s="33" t="str">
        <f>IF(Analysis!A102="","",Analysis!F102)</f>
        <v>Very High</v>
      </c>
      <c r="E190" s="33" t="b">
        <f>IF(Analysis!A102="","",Analysis!BG102)</f>
        <v>1</v>
      </c>
      <c r="F190" s="33" t="str">
        <f>IF(Analysis!A102="","",Analysis!AN102)</f>
        <v>Based on future design</v>
      </c>
      <c r="G190" s="33" t="str">
        <f>IF(Analysis!A102="","",Analysis!BA102)</f>
        <v>future project</v>
      </c>
      <c r="H190" s="34" t="str">
        <f>IF(Analysis!A102="","",Analysis!BJ102)</f>
        <v>CLIENT INPUT REQUIRED</v>
      </c>
      <c r="I190" s="33" t="str">
        <f>IF(Analysis!A102="","",Analysis!BK102)</f>
        <v>No specific plan</v>
      </c>
    </row>
    <row r="191" spans="1:9" ht="14.25" customHeight="1" x14ac:dyDescent="0.25">
      <c r="A191" s="32">
        <f>IF(Analysis!A103="","",Analysis!A103)</f>
        <v>100</v>
      </c>
      <c r="B191" s="33" t="str">
        <f>IF(Analysis!A103="","",Analysis!B103)</f>
        <v>Central District</v>
      </c>
      <c r="C191" s="33" t="str">
        <f>IF(Analysis!A103="","",Analysis!C103)</f>
        <v>33-9 Al Hdaybah St, Central District - Al Talaa</v>
      </c>
      <c r="D191" s="33" t="str">
        <f>IF(Analysis!A103="","",Analysis!F103)</f>
        <v>Very High</v>
      </c>
      <c r="E191" s="33" t="b">
        <f>IF(Analysis!A103="","",Analysis!BG103)</f>
        <v>1</v>
      </c>
      <c r="F191" s="33" t="str">
        <f>IF(Analysis!A103="","",Analysis!AN103)</f>
        <v>Based on future design</v>
      </c>
      <c r="G191" s="33" t="str">
        <f>IF(Analysis!A103="","",Analysis!BA103)</f>
        <v>future project</v>
      </c>
      <c r="H191" s="34" t="str">
        <f>IF(Analysis!A103="","",Analysis!BJ103)</f>
        <v>CLIENT INPUT REQUIRED</v>
      </c>
      <c r="I191" s="33" t="str">
        <f>IF(Analysis!A103="","",Analysis!BK103)</f>
        <v>No specific plan</v>
      </c>
    </row>
    <row r="192" spans="1:9" ht="14.25" customHeight="1" x14ac:dyDescent="0.25">
      <c r="A192" s="32">
        <f>IF(Analysis!A104="","",Analysis!A104)</f>
        <v>101</v>
      </c>
      <c r="B192" s="33" t="str">
        <f>IF(Analysis!A104="","",Analysis!B104)</f>
        <v>Central District</v>
      </c>
      <c r="C192" s="33" t="str">
        <f>IF(Analysis!A104="","",Analysis!C104)</f>
        <v>Al Wisal St, Central District - Al Nyadat</v>
      </c>
      <c r="D192" s="33" t="str">
        <f>IF(Analysis!A104="","",Analysis!F104)</f>
        <v>Very High</v>
      </c>
      <c r="E192" s="33" t="b">
        <f>IF(Analysis!A104="","",Analysis!BG104)</f>
        <v>1</v>
      </c>
      <c r="F192" s="33" t="str">
        <f>IF(Analysis!A104="","",Analysis!AN104)</f>
        <v>Based on future design</v>
      </c>
      <c r="G192" s="33" t="str">
        <f>IF(Analysis!A104="","",Analysis!BA104)</f>
        <v>future project</v>
      </c>
      <c r="H192" s="34" t="str">
        <f>IF(Analysis!A104="","",Analysis!BJ104)</f>
        <v>CLIENT INPUT REQUIRED</v>
      </c>
      <c r="I192" s="33" t="str">
        <f>IF(Analysis!A104="","",Analysis!BK104)</f>
        <v>No specific plan</v>
      </c>
    </row>
    <row r="193" spans="1:9" ht="14.25" customHeight="1" x14ac:dyDescent="0.25">
      <c r="A193" s="32">
        <f>IF(Analysis!A105="","",Analysis!A105)</f>
        <v>102</v>
      </c>
      <c r="B193" s="33" t="str">
        <f>IF(Analysis!A105="","",Analysis!B105)</f>
        <v>Central District</v>
      </c>
      <c r="C193" s="33" t="str">
        <f>IF(Analysis!A105="","",Analysis!C105)</f>
        <v>73-67 Al Masarrah St, Central District - Al Kuwaitat</v>
      </c>
      <c r="D193" s="33" t="str">
        <f>IF(Analysis!A105="","",Analysis!F105)</f>
        <v>Very High</v>
      </c>
      <c r="E193" s="33" t="b">
        <f>IF(Analysis!A105="","",Analysis!BG105)</f>
        <v>1</v>
      </c>
      <c r="F193" s="33" t="str">
        <f>IF(Analysis!A105="","",Analysis!AN105)</f>
        <v>Based on future design</v>
      </c>
      <c r="G193" s="33" t="str">
        <f>IF(Analysis!A105="","",Analysis!BA105)</f>
        <v>future project</v>
      </c>
      <c r="H193" s="34" t="str">
        <f>IF(Analysis!A105="","",Analysis!BJ105)</f>
        <v>CLIENT INPUT REQUIRED</v>
      </c>
      <c r="I193" s="33" t="str">
        <f>IF(Analysis!A105="","",Analysis!BK105)</f>
        <v>No specific plan</v>
      </c>
    </row>
    <row r="194" spans="1:9" ht="14.25" customHeight="1" x14ac:dyDescent="0.25">
      <c r="A194" s="32">
        <f>IF(Analysis!A106="","",Analysis!A106)</f>
        <v>103</v>
      </c>
      <c r="B194" s="33" t="str">
        <f>IF(Analysis!A106="","",Analysis!B106)</f>
        <v>Central District</v>
      </c>
      <c r="C194" s="33" t="str">
        <f>IF(Analysis!A106="","",Analysis!C106)</f>
        <v>Al Ain Civil Defense</v>
      </c>
      <c r="D194" s="33" t="str">
        <f>IF(Analysis!A106="","",Analysis!F106)</f>
        <v>Very High</v>
      </c>
      <c r="E194" s="33" t="b">
        <f>IF(Analysis!A106="","",Analysis!BG106)</f>
        <v>1</v>
      </c>
      <c r="F194" s="33" t="str">
        <f>IF(Analysis!A106="","",Analysis!AN106)</f>
        <v>Based on future design</v>
      </c>
      <c r="G194" s="33" t="str">
        <f>IF(Analysis!A106="","",Analysis!BA106)</f>
        <v>future project</v>
      </c>
      <c r="H194" s="34" t="str">
        <f>IF(Analysis!A106="","",Analysis!BJ106)</f>
        <v>CLIENT INPUT REQUIRED</v>
      </c>
      <c r="I194" s="33" t="str">
        <f>IF(Analysis!A106="","",Analysis!BK106)</f>
        <v>No specific plan</v>
      </c>
    </row>
    <row r="195" spans="1:9" ht="14.25" customHeight="1" x14ac:dyDescent="0.25">
      <c r="A195" s="32">
        <f>IF(Analysis!A107="","",Analysis!A107)</f>
        <v>104</v>
      </c>
      <c r="B195" s="33" t="str">
        <f>IF(Analysis!A107="","",Analysis!B107)</f>
        <v>Central District</v>
      </c>
      <c r="C195" s="33" t="str">
        <f>IF(Analysis!A107="","",Analysis!C107)</f>
        <v>25 Al Sufouq St, Central District</v>
      </c>
      <c r="D195" s="33" t="str">
        <f>IF(Analysis!A107="","",Analysis!F107)</f>
        <v>Very High</v>
      </c>
      <c r="E195" s="33" t="b">
        <f>IF(Analysis!A107="","",Analysis!BG107)</f>
        <v>1</v>
      </c>
      <c r="F195" s="33" t="str">
        <f>IF(Analysis!A107="","",Analysis!AN107)</f>
        <v>Upgrade Network</v>
      </c>
      <c r="G195" s="33" t="str">
        <f>IF(Analysis!A107="","",Analysis!BA107)</f>
        <v>Design phase</v>
      </c>
      <c r="H195" s="34">
        <f>IF(Analysis!A107="","",Analysis!BJ107)</f>
        <v>46905</v>
      </c>
      <c r="I195" s="33" t="str">
        <f>IF(Analysis!A107="","",Analysis!BK107)</f>
        <v>No specific plan</v>
      </c>
    </row>
    <row r="196" spans="1:9" ht="14.25" customHeight="1" x14ac:dyDescent="0.25">
      <c r="A196" s="32">
        <f>IF(Analysis!A108="","",Analysis!A108)</f>
        <v>105</v>
      </c>
      <c r="B196" s="33" t="str">
        <f>IF(Analysis!A108="","",Analysis!B108)</f>
        <v>Central District</v>
      </c>
      <c r="C196" s="33" t="str">
        <f>IF(Analysis!A108="","",Analysis!C108)</f>
        <v>25 Al Sufouq St, Central District</v>
      </c>
      <c r="D196" s="33" t="str">
        <f>IF(Analysis!A108="","",Analysis!F108)</f>
        <v>Very High</v>
      </c>
      <c r="E196" s="33" t="b">
        <f>IF(Analysis!A108="","",Analysis!BG108)</f>
        <v>1</v>
      </c>
      <c r="F196" s="33" t="str">
        <f>IF(Analysis!A108="","",Analysis!AN108)</f>
        <v>Based on future design</v>
      </c>
      <c r="G196" s="33" t="str">
        <f>IF(Analysis!A108="","",Analysis!BA108)</f>
        <v>future project</v>
      </c>
      <c r="H196" s="34" t="str">
        <f>IF(Analysis!A108="","",Analysis!BJ108)</f>
        <v>CLIENT INPUT REQUIRED</v>
      </c>
      <c r="I196" s="33" t="str">
        <f>IF(Analysis!A108="","",Analysis!BK108)</f>
        <v>No specific plan</v>
      </c>
    </row>
    <row r="197" spans="1:9" ht="14.25" customHeight="1" x14ac:dyDescent="0.25">
      <c r="A197" s="32">
        <f>IF(Analysis!A109="","",Analysis!A109)</f>
        <v>106</v>
      </c>
      <c r="B197" s="33" t="str">
        <f>IF(Analysis!A109="","",Analysis!B109)</f>
        <v>Central District</v>
      </c>
      <c r="C197" s="33" t="str">
        <f>IF(Analysis!A109="","",Analysis!C109)</f>
        <v>Hai Al Qasr, Central District</v>
      </c>
      <c r="D197" s="33" t="str">
        <f>IF(Analysis!A109="","",Analysis!F109)</f>
        <v>Very High</v>
      </c>
      <c r="E197" s="33" t="b">
        <f>IF(Analysis!A109="","",Analysis!BG109)</f>
        <v>1</v>
      </c>
      <c r="F197" s="33" t="str">
        <f>IF(Analysis!A109="","",Analysis!AN109)</f>
        <v>Based on future design</v>
      </c>
      <c r="G197" s="33" t="str">
        <f>IF(Analysis!A109="","",Analysis!BA109)</f>
        <v>future project</v>
      </c>
      <c r="H197" s="34" t="str">
        <f>IF(Analysis!A109="","",Analysis!BJ109)</f>
        <v>CLIENT INPUT REQUIRED</v>
      </c>
      <c r="I197" s="33" t="str">
        <f>IF(Analysis!A109="","",Analysis!BK109)</f>
        <v>No specific plan</v>
      </c>
    </row>
    <row r="198" spans="1:9" ht="14.25" customHeight="1" x14ac:dyDescent="0.25">
      <c r="A198" s="32">
        <f>IF(Analysis!A110="","",Analysis!A110)</f>
        <v>107</v>
      </c>
      <c r="B198" s="33" t="str">
        <f>IF(Analysis!A110="","",Analysis!B110)</f>
        <v>Central District</v>
      </c>
      <c r="C198" s="33" t="str">
        <f>IF(Analysis!A110="","",Analysis!C110)</f>
        <v>12-16 Seasons St, Central District - Nad Al Rusas</v>
      </c>
      <c r="D198" s="33" t="str">
        <f>IF(Analysis!A110="","",Analysis!F110)</f>
        <v>Very High</v>
      </c>
      <c r="E198" s="33" t="b">
        <f>IF(Analysis!A110="","",Analysis!BG110)</f>
        <v>1</v>
      </c>
      <c r="F198" s="33" t="str">
        <f>IF(Analysis!A110="","",Analysis!AN110)</f>
        <v>Upgrade Network</v>
      </c>
      <c r="G198" s="33" t="str">
        <f>IF(Analysis!A110="","",Analysis!BA110)</f>
        <v>Design phase</v>
      </c>
      <c r="H198" s="34">
        <f>IF(Analysis!A110="","",Analysis!BJ110)</f>
        <v>47088</v>
      </c>
      <c r="I198" s="33" t="str">
        <f>IF(Analysis!A110="","",Analysis!BK110)</f>
        <v>No specific plan</v>
      </c>
    </row>
    <row r="199" spans="1:9" ht="14.25" customHeight="1" x14ac:dyDescent="0.25">
      <c r="A199" s="32">
        <f>IF(Analysis!A111="","",Analysis!A111)</f>
        <v>108</v>
      </c>
      <c r="B199" s="33" t="str">
        <f>IF(Analysis!A111="","",Analysis!B111)</f>
        <v>Central District</v>
      </c>
      <c r="C199" s="33" t="str">
        <f>IF(Analysis!A111="","",Analysis!C111)</f>
        <v>Malayim St, Central District - Nad Al Gorban</v>
      </c>
      <c r="D199" s="33" t="str">
        <f>IF(Analysis!A111="","",Analysis!F111)</f>
        <v>Very High</v>
      </c>
      <c r="E199" s="33" t="b">
        <f>IF(Analysis!A111="","",Analysis!BG111)</f>
        <v>1</v>
      </c>
      <c r="F199" s="33" t="str">
        <f>IF(Analysis!A111="","",Analysis!AN111)</f>
        <v>Based on future design</v>
      </c>
      <c r="G199" s="33" t="str">
        <f>IF(Analysis!A111="","",Analysis!BA111)</f>
        <v>future project</v>
      </c>
      <c r="H199" s="34" t="str">
        <f>IF(Analysis!A111="","",Analysis!BJ111)</f>
        <v>CLIENT INPUT REQUIRED</v>
      </c>
      <c r="I199" s="33" t="str">
        <f>IF(Analysis!A111="","",Analysis!BK111)</f>
        <v>No specific plan</v>
      </c>
    </row>
    <row r="200" spans="1:9" ht="14.25" customHeight="1" x14ac:dyDescent="0.25">
      <c r="A200" s="32">
        <f>IF(Analysis!A112="","",Analysis!A112)</f>
        <v>109</v>
      </c>
      <c r="B200" s="33" t="str">
        <f>IF(Analysis!A112="","",Analysis!B112)</f>
        <v>Central District</v>
      </c>
      <c r="C200" s="33" t="str">
        <f>IF(Analysis!A112="","",Analysis!C112)</f>
        <v>Al Sufouq St, Central District - Shiebat Bin Anbar</v>
      </c>
      <c r="D200" s="33" t="str">
        <f>IF(Analysis!A112="","",Analysis!F112)</f>
        <v>Very High</v>
      </c>
      <c r="E200" s="33" t="b">
        <f>IF(Analysis!A112="","",Analysis!BG112)</f>
        <v>1</v>
      </c>
      <c r="F200" s="33" t="str">
        <f>IF(Analysis!A112="","",Analysis!AN112)</f>
        <v>Based on future design</v>
      </c>
      <c r="G200" s="33" t="str">
        <f>IF(Analysis!A112="","",Analysis!BA112)</f>
        <v>future project</v>
      </c>
      <c r="H200" s="34" t="str">
        <f>IF(Analysis!A112="","",Analysis!BJ112)</f>
        <v>CLIENT INPUT REQUIRED</v>
      </c>
      <c r="I200" s="33" t="str">
        <f>IF(Analysis!A112="","",Analysis!BK112)</f>
        <v>No specific plan</v>
      </c>
    </row>
    <row r="201" spans="1:9" ht="21.75" customHeight="1" x14ac:dyDescent="0.25">
      <c r="A201" s="32">
        <f>IF(Analysis!A113="","",Analysis!A113)</f>
        <v>110</v>
      </c>
      <c r="B201" s="33" t="str">
        <f>IF(Analysis!A113="","",Analysis!B113)</f>
        <v>Central District</v>
      </c>
      <c r="C201" s="35" t="str">
        <f>IF(Analysis!A113="","",Analysis!C113)</f>
        <v>97-87 Al Anhar St
Central District - Nad Al Gorban - Abu</v>
      </c>
      <c r="D201" s="33" t="str">
        <f>IF(Analysis!A113="","",Analysis!F113)</f>
        <v>Very High</v>
      </c>
      <c r="E201" s="33" t="b">
        <f>IF(Analysis!A113="","",Analysis!BG113)</f>
        <v>1</v>
      </c>
      <c r="F201" s="33" t="str">
        <f>IF(Analysis!A113="","",Analysis!AN113)</f>
        <v>Based on future design</v>
      </c>
      <c r="G201" s="33" t="str">
        <f>IF(Analysis!A113="","",Analysis!BA113)</f>
        <v>future project</v>
      </c>
      <c r="H201" s="34" t="str">
        <f>IF(Analysis!A113="","",Analysis!BJ113)</f>
        <v>CLIENT INPUT REQUIRED</v>
      </c>
      <c r="I201" s="33" t="str">
        <f>IF(Analysis!A113="","",Analysis!BK113)</f>
        <v>No specific plan</v>
      </c>
    </row>
    <row r="202" spans="1:9" ht="14.25" customHeight="1" x14ac:dyDescent="0.25">
      <c r="A202" s="32">
        <f>IF(Analysis!A114="","",Analysis!A114)</f>
        <v>111</v>
      </c>
      <c r="B202" s="33" t="str">
        <f>IF(Analysis!A114="","",Analysis!B114)</f>
        <v>Falaj Hazza</v>
      </c>
      <c r="C202" s="33" t="str">
        <f>IF(Analysis!A114="","",Analysis!C114)</f>
        <v>Falaj Hazza' - Jefeer Jedeed</v>
      </c>
      <c r="D202" s="33" t="str">
        <f>IF(Analysis!A114="","",Analysis!F114)</f>
        <v>Low</v>
      </c>
      <c r="E202" s="33" t="b">
        <f>IF(Analysis!A114="","",Analysis!BG114)</f>
        <v>1</v>
      </c>
      <c r="F202" s="33" t="str">
        <f>IF(Analysis!A114="","",Analysis!AN114)</f>
        <v>Based on future design</v>
      </c>
      <c r="G202" s="33" t="str">
        <f>IF(Analysis!A114="","",Analysis!BA114)</f>
        <v>future project</v>
      </c>
      <c r="H202" s="34" t="str">
        <f>IF(Analysis!A114="","",Analysis!BJ114)</f>
        <v>CLIENT INPUT REQUIRED</v>
      </c>
      <c r="I202" s="33" t="str">
        <f>IF(Analysis!A114="","",Analysis!BK114)</f>
        <v>No specific plan</v>
      </c>
    </row>
    <row r="203" spans="1:9" ht="14.25" customHeight="1" x14ac:dyDescent="0.25">
      <c r="A203" s="32">
        <f>IF(Analysis!A115="","",Analysis!A115)</f>
        <v>112</v>
      </c>
      <c r="B203" s="33" t="str">
        <f>IF(Analysis!A115="","",Analysis!B115)</f>
        <v>Falaj Hazza</v>
      </c>
      <c r="C203" s="33" t="str">
        <f>IF(Analysis!A115="","",Analysis!C115)</f>
        <v>Falaj Hazza' - Jefeer Jedeed</v>
      </c>
      <c r="D203" s="33" t="str">
        <f>IF(Analysis!A115="","",Analysis!F115)</f>
        <v>Medium</v>
      </c>
      <c r="E203" s="33" t="b">
        <f>IF(Analysis!A115="","",Analysis!BG115)</f>
        <v>1</v>
      </c>
      <c r="F203" s="33" t="str">
        <f>IF(Analysis!A115="","",Analysis!AN115)</f>
        <v>Based on future design</v>
      </c>
      <c r="G203" s="33" t="str">
        <f>IF(Analysis!A115="","",Analysis!BA115)</f>
        <v>future project</v>
      </c>
      <c r="H203" s="34" t="str">
        <f>IF(Analysis!A115="","",Analysis!BJ115)</f>
        <v>CLIENT INPUT REQUIRED</v>
      </c>
      <c r="I203" s="33" t="str">
        <f>IF(Analysis!A115="","",Analysis!BK115)</f>
        <v>No specific plan</v>
      </c>
    </row>
    <row r="204" spans="1:9" ht="14.25" customHeight="1" x14ac:dyDescent="0.25">
      <c r="A204" s="32">
        <f>IF(Analysis!A116="","",Analysis!A116)</f>
        <v>113</v>
      </c>
      <c r="B204" s="33" t="str">
        <f>IF(Analysis!A116="","",Analysis!B116)</f>
        <v>Falaj Hazza</v>
      </c>
      <c r="C204" s="33" t="str">
        <f>IF(Analysis!A116="","",Analysis!C116)</f>
        <v>14 شارع السَاسْ, Falaj Hazza' - Jefeer Jedeed</v>
      </c>
      <c r="D204" s="33" t="str">
        <f>IF(Analysis!A116="","",Analysis!F116)</f>
        <v>Low</v>
      </c>
      <c r="E204" s="33" t="b">
        <f>IF(Analysis!A116="","",Analysis!BG116)</f>
        <v>1</v>
      </c>
      <c r="F204" s="33" t="str">
        <f>IF(Analysis!A116="","",Analysis!AN116)</f>
        <v>Based on future design</v>
      </c>
      <c r="G204" s="33" t="str">
        <f>IF(Analysis!A116="","",Analysis!BA116)</f>
        <v>future project</v>
      </c>
      <c r="H204" s="34" t="str">
        <f>IF(Analysis!A116="","",Analysis!BJ116)</f>
        <v>CLIENT INPUT REQUIRED</v>
      </c>
      <c r="I204" s="33" t="str">
        <f>IF(Analysis!A116="","",Analysis!BK116)</f>
        <v>No specific plan</v>
      </c>
    </row>
    <row r="205" spans="1:9" ht="14.25" customHeight="1" x14ac:dyDescent="0.25">
      <c r="A205" s="32">
        <f>IF(Analysis!A117="","",Analysis!A117)</f>
        <v>114</v>
      </c>
      <c r="B205" s="33" t="str">
        <f>IF(Analysis!A117="","",Analysis!B117)</f>
        <v>Falaj Hazza</v>
      </c>
      <c r="C205" s="33" t="str">
        <f>IF(Analysis!A117="","",Analysis!C117)</f>
        <v>Zkhir Tunnel, Nahyan The First St, Falaj Hazza' - Ramlat Zakher</v>
      </c>
      <c r="D205" s="33" t="str">
        <f>IF(Analysis!A117="","",Analysis!F117)</f>
        <v>Low</v>
      </c>
      <c r="E205" s="33" t="b">
        <f>IF(Analysis!A117="","",Analysis!BG117)</f>
        <v>1</v>
      </c>
      <c r="F205" s="33" t="str">
        <f>IF(Analysis!A117="","",Analysis!AN117)</f>
        <v>Upgrade Network</v>
      </c>
      <c r="G205" s="33" t="str">
        <f>IF(Analysis!A117="","",Analysis!BA117)</f>
        <v>Hand Over Phase</v>
      </c>
      <c r="H205" s="34" t="str">
        <f>IF(Analysis!A117="","",Analysis!BJ117)</f>
        <v>CLIENT INPUT REQUIRED</v>
      </c>
      <c r="I205" s="33" t="str">
        <f>IF(Analysis!A117="","",Analysis!BK117)</f>
        <v>No specific plan</v>
      </c>
    </row>
    <row r="206" spans="1:9" ht="14.25" customHeight="1" x14ac:dyDescent="0.25">
      <c r="A206" s="32">
        <f>IF(Analysis!A118="","",Analysis!A118)</f>
        <v>115</v>
      </c>
      <c r="B206" s="33" t="str">
        <f>IF(Analysis!A118="","",Analysis!B118)</f>
        <v>Green Mubazzarah &amp; Ain Al Fayda &amp; Al Dhahrah</v>
      </c>
      <c r="C206" s="33" t="str">
        <f>IF(Analysis!A118="","",Analysis!C118)</f>
        <v>Ain Al Fayda, Ain Al Faydah</v>
      </c>
      <c r="D206" s="33" t="str">
        <f>IF(Analysis!A118="","",Analysis!F118)</f>
        <v>Medium</v>
      </c>
      <c r="E206" s="33" t="b">
        <f>IF(Analysis!A118="","",Analysis!BG118)</f>
        <v>1</v>
      </c>
      <c r="F206" s="33" t="str">
        <f>IF(Analysis!A118="","",Analysis!AN118)</f>
        <v>Upgrade Network</v>
      </c>
      <c r="G206" s="33" t="str">
        <f>IF(Analysis!A118="","",Analysis!BA118)</f>
        <v>Implementation phase</v>
      </c>
      <c r="H206" s="34">
        <f>IF(Analysis!A118="","",Analysis!BJ118)</f>
        <v>46266</v>
      </c>
      <c r="I206" s="33" t="str">
        <f>IF(Analysis!A118="","",Analysis!BK118)</f>
        <v>No specific plan</v>
      </c>
    </row>
    <row r="207" spans="1:9" ht="14.25" customHeight="1" x14ac:dyDescent="0.25">
      <c r="A207" s="32">
        <f>IF(Analysis!A119="","",Analysis!A119)</f>
        <v>116</v>
      </c>
      <c r="B207" s="33" t="str">
        <f>IF(Analysis!A119="","",Analysis!B119)</f>
        <v>Green Mubazzarah &amp; Ain Al Fayda &amp; Al Dhahrah</v>
      </c>
      <c r="C207" s="33" t="str">
        <f>IF(Analysis!A119="","",Analysis!C119)</f>
        <v xml:space="preserve">Al Bawarij St, Ain Al Faydah - Ain Al Fayda </v>
      </c>
      <c r="D207" s="33" t="str">
        <f>IF(Analysis!A119="","",Analysis!F119)</f>
        <v>Medium</v>
      </c>
      <c r="E207" s="33" t="b">
        <f>IF(Analysis!A119="","",Analysis!BG119)</f>
        <v>1</v>
      </c>
      <c r="F207" s="33" t="str">
        <f>IF(Analysis!A119="","",Analysis!AN119)</f>
        <v>Based on future design</v>
      </c>
      <c r="G207" s="33" t="str">
        <f>IF(Analysis!A119="","",Analysis!BA119)</f>
        <v>future project</v>
      </c>
      <c r="H207" s="34" t="str">
        <f>IF(Analysis!A119="","",Analysis!BJ119)</f>
        <v>CLIENT INPUT REQUIRED</v>
      </c>
      <c r="I207" s="33" t="str">
        <f>IF(Analysis!A119="","",Analysis!BK119)</f>
        <v>No specific plan</v>
      </c>
    </row>
    <row r="208" spans="1:9" ht="14.25" customHeight="1" x14ac:dyDescent="0.25">
      <c r="A208" s="32">
        <f>IF(Analysis!A120="","",Analysis!A120)</f>
        <v>117</v>
      </c>
      <c r="B208" s="33" t="str">
        <f>IF(Analysis!A120="","",Analysis!B120)</f>
        <v>Green Mubazzarah &amp; Ain Al Fayda &amp; Al Dhahrah</v>
      </c>
      <c r="C208" s="33" t="str">
        <f>IF(Analysis!A120="","",Analysis!C120)</f>
        <v>Ain Al Fayda, E40 E30 R/A</v>
      </c>
      <c r="D208" s="33" t="str">
        <f>IF(Analysis!A120="","",Analysis!F120)</f>
        <v>Medium</v>
      </c>
      <c r="E208" s="33" t="b">
        <f>IF(Analysis!A120="","",Analysis!BG120)</f>
        <v>1</v>
      </c>
      <c r="F208" s="33" t="str">
        <f>IF(Analysis!A120="","",Analysis!AN120)</f>
        <v>Based on future design</v>
      </c>
      <c r="G208" s="33" t="str">
        <f>IF(Analysis!A120="","",Analysis!BA120)</f>
        <v>future project</v>
      </c>
      <c r="H208" s="34" t="str">
        <f>IF(Analysis!A120="","",Analysis!BJ120)</f>
        <v>CLIENT INPUT REQUIRED</v>
      </c>
      <c r="I208" s="33" t="str">
        <f>IF(Analysis!A120="","",Analysis!BK120)</f>
        <v>No specific plan</v>
      </c>
    </row>
    <row r="209" spans="1:9" ht="14.25" customHeight="1" x14ac:dyDescent="0.25">
      <c r="A209" s="32">
        <f>IF(Analysis!A121="","",Analysis!A121)</f>
        <v>118</v>
      </c>
      <c r="B209" s="33" t="str">
        <f>IF(Analysis!A121="","",Analysis!B121)</f>
        <v>Green Mubazzarah &amp; Ain Al Fayda &amp; Al Dhahrah</v>
      </c>
      <c r="C209" s="33" t="str">
        <f>IF(Analysis!A121="","",Analysis!C121)</f>
        <v xml:space="preserve">Dihn Al ʹOud St, Mbazzarah Al Khadra - Green Mubazzarah 2 </v>
      </c>
      <c r="D209" s="33" t="str">
        <f>IF(Analysis!A121="","",Analysis!F121)</f>
        <v>Medium</v>
      </c>
      <c r="E209" s="33" t="b">
        <f>IF(Analysis!A121="","",Analysis!BG121)</f>
        <v>1</v>
      </c>
      <c r="F209" s="33" t="str">
        <f>IF(Analysis!A121="","",Analysis!AN121)</f>
        <v>Upgrade Network</v>
      </c>
      <c r="G209" s="33" t="str">
        <f>IF(Analysis!A121="","",Analysis!BA121)</f>
        <v>Implementation phase</v>
      </c>
      <c r="H209" s="34">
        <f>IF(Analysis!A121="","",Analysis!BJ121)</f>
        <v>46266</v>
      </c>
      <c r="I209" s="33" t="str">
        <f>IF(Analysis!A121="","",Analysis!BK121)</f>
        <v>No specific plan</v>
      </c>
    </row>
    <row r="210" spans="1:9" ht="14.25" customHeight="1" x14ac:dyDescent="0.25">
      <c r="A210" s="32">
        <f>IF(Analysis!A122="","",Analysis!A122)</f>
        <v>119</v>
      </c>
      <c r="B210" s="33" t="str">
        <f>IF(Analysis!A122="","",Analysis!B122)</f>
        <v>Green Mubazzarah &amp; Ain Al Fayda &amp; Al Dhahrah</v>
      </c>
      <c r="C210" s="33" t="str">
        <f>IF(Analysis!A122="","",Analysis!C122)</f>
        <v>6-16 Tawi Tay St, Al Dhahrah - Al Malaleeh</v>
      </c>
      <c r="D210" s="33" t="str">
        <f>IF(Analysis!A122="","",Analysis!F122)</f>
        <v>Medium</v>
      </c>
      <c r="E210" s="33" t="b">
        <f>IF(Analysis!A122="","",Analysis!BG122)</f>
        <v>1</v>
      </c>
      <c r="F210" s="33" t="str">
        <f>IF(Analysis!A122="","",Analysis!AN122)</f>
        <v>Based on future design</v>
      </c>
      <c r="G210" s="33" t="str">
        <f>IF(Analysis!A122="","",Analysis!BA122)</f>
        <v>future project</v>
      </c>
      <c r="H210" s="34" t="str">
        <f>IF(Analysis!A122="","",Analysis!BJ122)</f>
        <v>CLIENT INPUT REQUIRED</v>
      </c>
      <c r="I210" s="33" t="str">
        <f>IF(Analysis!A122="","",Analysis!BK122)</f>
        <v>No specific plan</v>
      </c>
    </row>
    <row r="211" spans="1:9" ht="14.25" customHeight="1" x14ac:dyDescent="0.25">
      <c r="A211" s="32">
        <f>IF(Analysis!A123="","",Analysis!A123)</f>
        <v>120</v>
      </c>
      <c r="B211" s="33" t="str">
        <f>IF(Analysis!A123="","",Analysis!B123)</f>
        <v>Green Mubazzarah &amp; Ain Al Fayda &amp; Al Dhahrah</v>
      </c>
      <c r="C211" s="33" t="str">
        <f>IF(Analysis!A123="","",Analysis!C123)</f>
        <v>Um Az Zumoul Rd, Al Dhahrah - Al Malaleeh</v>
      </c>
      <c r="D211" s="33" t="str">
        <f>IF(Analysis!A123="","",Analysis!F123)</f>
        <v>Medium</v>
      </c>
      <c r="E211" s="33" t="b">
        <f>IF(Analysis!A123="","",Analysis!BG123)</f>
        <v>1</v>
      </c>
      <c r="F211" s="33" t="str">
        <f>IF(Analysis!A123="","",Analysis!AN123)</f>
        <v>Based on future design</v>
      </c>
      <c r="G211" s="33" t="str">
        <f>IF(Analysis!A123="","",Analysis!BA123)</f>
        <v>future project</v>
      </c>
      <c r="H211" s="34" t="str">
        <f>IF(Analysis!A123="","",Analysis!BJ123)</f>
        <v>CLIENT INPUT REQUIRED</v>
      </c>
      <c r="I211" s="33" t="str">
        <f>IF(Analysis!A123="","",Analysis!BK123)</f>
        <v>No specific plan</v>
      </c>
    </row>
    <row r="212" spans="1:9" ht="14.25" customHeight="1" x14ac:dyDescent="0.25">
      <c r="A212" s="32">
        <f>IF(Analysis!A124="","",Analysis!A124)</f>
        <v>121</v>
      </c>
      <c r="B212" s="33" t="str">
        <f>IF(Analysis!A124="","",Analysis!B124)</f>
        <v>Hili</v>
      </c>
      <c r="C212" s="33" t="str">
        <f>IF(Analysis!A124="","",Analysis!C124)</f>
        <v>4 An Nayfah St, Hili - Al Reef</v>
      </c>
      <c r="D212" s="33" t="str">
        <f>IF(Analysis!A124="","",Analysis!F124)</f>
        <v>Very High</v>
      </c>
      <c r="E212" s="33" t="b">
        <f>IF(Analysis!A124="","",Analysis!BG124)</f>
        <v>1</v>
      </c>
      <c r="F212" s="33" t="str">
        <f>IF(Analysis!A124="","",Analysis!AN124)</f>
        <v>Based on future design</v>
      </c>
      <c r="G212" s="33" t="str">
        <f>IF(Analysis!A124="","",Analysis!BA124)</f>
        <v>future project</v>
      </c>
      <c r="H212" s="34" t="str">
        <f>IF(Analysis!A124="","",Analysis!BJ124)</f>
        <v>CLIENT INPUT REQUIRED</v>
      </c>
      <c r="I212" s="33" t="str">
        <f>IF(Analysis!A124="","",Analysis!BK124)</f>
        <v>No specific plan</v>
      </c>
    </row>
    <row r="213" spans="1:9" ht="14.25" customHeight="1" x14ac:dyDescent="0.25">
      <c r="A213" s="32">
        <f>IF(Analysis!A125="","",Analysis!A125)</f>
        <v>122</v>
      </c>
      <c r="B213" s="33" t="str">
        <f>IF(Analysis!A125="","",Analysis!B125)</f>
        <v>Hili</v>
      </c>
      <c r="C213" s="33" t="str">
        <f>IF(Analysis!A125="","",Analysis!C125)</f>
        <v>91-87 Muslim Bin Yasar St, Hili - Shareat Hili</v>
      </c>
      <c r="D213" s="33" t="str">
        <f>IF(Analysis!A125="","",Analysis!F125)</f>
        <v>Very High</v>
      </c>
      <c r="E213" s="33" t="b">
        <f>IF(Analysis!A125="","",Analysis!BG125)</f>
        <v>1</v>
      </c>
      <c r="F213" s="33" t="str">
        <f>IF(Analysis!A125="","",Analysis!AN125)</f>
        <v>Upgrade Network</v>
      </c>
      <c r="G213" s="33" t="str">
        <f>IF(Analysis!A125="","",Analysis!BA125)</f>
        <v>Hand Over Phase</v>
      </c>
      <c r="H213" s="34">
        <f>IF(Analysis!A125="","",Analysis!BJ125)</f>
        <v>46082</v>
      </c>
      <c r="I213" s="33" t="str">
        <f>IF(Analysis!A125="","",Analysis!BK125)</f>
        <v>No specific plan</v>
      </c>
    </row>
    <row r="214" spans="1:9" ht="14.25" customHeight="1" x14ac:dyDescent="0.25">
      <c r="A214" s="32">
        <f>IF(Analysis!A126="","",Analysis!A126)</f>
        <v>123</v>
      </c>
      <c r="B214" s="33" t="str">
        <f>IF(Analysis!A126="","",Analysis!B126)</f>
        <v>Hili</v>
      </c>
      <c r="C214" s="33" t="str">
        <f>IF(Analysis!A126="","",Analysis!C126)</f>
        <v>6 Al Astorlab St - Hili - Eidan Al Mahaba</v>
      </c>
      <c r="D214" s="33" t="str">
        <f>IF(Analysis!A126="","",Analysis!F126)</f>
        <v>Very High</v>
      </c>
      <c r="E214" s="33" t="b">
        <f>IF(Analysis!A126="","",Analysis!BG126)</f>
        <v>1</v>
      </c>
      <c r="F214" s="33" t="str">
        <f>IF(Analysis!A126="","",Analysis!AN126)</f>
        <v>Based on future design</v>
      </c>
      <c r="G214" s="33" t="str">
        <f>IF(Analysis!A126="","",Analysis!BA126)</f>
        <v>future project</v>
      </c>
      <c r="H214" s="34" t="str">
        <f>IF(Analysis!A126="","",Analysis!BJ126)</f>
        <v>CLIENT INPUT REQUIRED</v>
      </c>
      <c r="I214" s="33" t="str">
        <f>IF(Analysis!A126="","",Analysis!BK126)</f>
        <v>No specific plan</v>
      </c>
    </row>
    <row r="215" spans="1:9" ht="14.25" customHeight="1" x14ac:dyDescent="0.25">
      <c r="A215" s="32">
        <f>IF(Analysis!A127="","",Analysis!A127)</f>
        <v>124</v>
      </c>
      <c r="B215" s="33" t="str">
        <f>IF(Analysis!A127="","",Analysis!B127)</f>
        <v>Hili</v>
      </c>
      <c r="C215" s="33" t="str">
        <f>IF(Analysis!A127="","",Analysis!C127)</f>
        <v>7-3 Irq As Simayh St Hili - Al Reef</v>
      </c>
      <c r="D215" s="33" t="str">
        <f>IF(Analysis!A127="","",Analysis!F127)</f>
        <v>Very High</v>
      </c>
      <c r="E215" s="33" t="b">
        <f>IF(Analysis!A127="","",Analysis!BG127)</f>
        <v>1</v>
      </c>
      <c r="F215" s="33" t="str">
        <f>IF(Analysis!A127="","",Analysis!AN127)</f>
        <v>Based on future design</v>
      </c>
      <c r="G215" s="33" t="str">
        <f>IF(Analysis!A127="","",Analysis!BA127)</f>
        <v>future project</v>
      </c>
      <c r="H215" s="34" t="str">
        <f>IF(Analysis!A127="","",Analysis!BJ127)</f>
        <v>CLIENT INPUT REQUIRED</v>
      </c>
      <c r="I215" s="33" t="str">
        <f>IF(Analysis!A127="","",Analysis!BK127)</f>
        <v>No specific plan</v>
      </c>
    </row>
    <row r="216" spans="1:9" ht="14.25" customHeight="1" x14ac:dyDescent="0.25">
      <c r="A216" s="32">
        <f>IF(Analysis!A128="","",Analysis!A128)</f>
        <v>125</v>
      </c>
      <c r="B216" s="33" t="str">
        <f>IF(Analysis!A128="","",Analysis!B128)</f>
        <v>Hili</v>
      </c>
      <c r="C216" s="33" t="str">
        <f>IF(Analysis!A128="","",Analysis!C128)</f>
        <v>Al Misbah, Hili</v>
      </c>
      <c r="D216" s="33" t="str">
        <f>IF(Analysis!A128="","",Analysis!F128)</f>
        <v>Very High</v>
      </c>
      <c r="E216" s="33" t="b">
        <f>IF(Analysis!A128="","",Analysis!BG128)</f>
        <v>1</v>
      </c>
      <c r="F216" s="33" t="str">
        <f>IF(Analysis!A128="","",Analysis!AN128)</f>
        <v>Upgrade Network</v>
      </c>
      <c r="G216" s="33" t="str">
        <f>IF(Analysis!A128="","",Analysis!BA128)</f>
        <v>Hand Over Phase</v>
      </c>
      <c r="H216" s="34">
        <f>IF(Analysis!A128="","",Analysis!BJ128)</f>
        <v>46082</v>
      </c>
      <c r="I216" s="33" t="str">
        <f>IF(Analysis!A128="","",Analysis!BK128)</f>
        <v>No specific plan</v>
      </c>
    </row>
    <row r="217" spans="1:9" ht="14.25" customHeight="1" x14ac:dyDescent="0.25">
      <c r="A217" s="32">
        <f>IF(Analysis!A129="","",Analysis!A129)</f>
        <v>126</v>
      </c>
      <c r="B217" s="33" t="str">
        <f>IF(Analysis!A129="","",Analysis!B129)</f>
        <v>Hili (completed only monitoring)</v>
      </c>
      <c r="C217" s="33" t="str">
        <f>IF(Analysis!A129="","",Analysis!C129)</f>
        <v>Al Misbah, Al Athar St. Hili Area</v>
      </c>
      <c r="D217" s="33" t="str">
        <f>IF(Analysis!A129="","",Analysis!F129)</f>
        <v>Very High</v>
      </c>
      <c r="E217" s="33" t="b">
        <f>IF(Analysis!A129="","",Analysis!BG129)</f>
        <v>1</v>
      </c>
      <c r="F217" s="33" t="str">
        <f>IF(Analysis!A129="","",Analysis!AN129)</f>
        <v>Upgrade Network</v>
      </c>
      <c r="G217" s="33" t="str">
        <f>IF(Analysis!A129="","",Analysis!BA129)</f>
        <v>Hand Over Phase</v>
      </c>
      <c r="H217" s="34">
        <f>IF(Analysis!A129="","",Analysis!BJ129)</f>
        <v>46082</v>
      </c>
      <c r="I217" s="33" t="str">
        <f>IF(Analysis!A129="","",Analysis!BK129)</f>
        <v>No specific plan</v>
      </c>
    </row>
    <row r="218" spans="1:9" ht="14.25" customHeight="1" x14ac:dyDescent="0.25">
      <c r="A218" s="32">
        <f>IF(Analysis!A130="","",Analysis!A130)</f>
        <v>127</v>
      </c>
      <c r="B218" s="33" t="str">
        <f>IF(Analysis!A130="","",Analysis!B130)</f>
        <v>Hili</v>
      </c>
      <c r="C218" s="33" t="str">
        <f>IF(Analysis!A130="","",Analysis!C130)</f>
        <v>Hili Archaeological park Roundabout, 55 - Hili - Athar Hili</v>
      </c>
      <c r="D218" s="33" t="str">
        <f>IF(Analysis!A130="","",Analysis!F130)</f>
        <v>Very High</v>
      </c>
      <c r="E218" s="33" t="b">
        <f>IF(Analysis!A130="","",Analysis!BG130)</f>
        <v>1</v>
      </c>
      <c r="F218" s="33" t="str">
        <f>IF(Analysis!A130="","",Analysis!AN130)</f>
        <v>Upgrade Network</v>
      </c>
      <c r="G218" s="33" t="str">
        <f>IF(Analysis!A130="","",Analysis!BA130)</f>
        <v>Hand Over Phase</v>
      </c>
      <c r="H218" s="34">
        <f>IF(Analysis!A130="","",Analysis!BJ130)</f>
        <v>46082</v>
      </c>
      <c r="I218" s="33" t="str">
        <f>IF(Analysis!A130="","",Analysis!BK130)</f>
        <v>No specific plan</v>
      </c>
    </row>
    <row r="219" spans="1:9" ht="14.25" customHeight="1" x14ac:dyDescent="0.25">
      <c r="A219" s="32">
        <f>IF(Analysis!A131="","",Analysis!A131)</f>
        <v>128</v>
      </c>
      <c r="B219" s="33" t="str">
        <f>IF(Analysis!A131="","",Analysis!B131)</f>
        <v>Hili</v>
      </c>
      <c r="C219" s="33" t="str">
        <f>IF(Analysis!A131="","",Analysis!C131)</f>
        <v>62-66 Al Hawwami St, Hili - Al Reef</v>
      </c>
      <c r="D219" s="33" t="str">
        <f>IF(Analysis!A131="","",Analysis!F131)</f>
        <v>Very High</v>
      </c>
      <c r="E219" s="33" t="b">
        <f>IF(Analysis!A131="","",Analysis!BG131)</f>
        <v>1</v>
      </c>
      <c r="F219" s="33" t="str">
        <f>IF(Analysis!A131="","",Analysis!AN131)</f>
        <v>Based on future design</v>
      </c>
      <c r="G219" s="33" t="str">
        <f>IF(Analysis!A131="","",Analysis!BA131)</f>
        <v>future project</v>
      </c>
      <c r="H219" s="34" t="str">
        <f>IF(Analysis!A131="","",Analysis!BJ131)</f>
        <v>CLIENT INPUT REQUIRED</v>
      </c>
      <c r="I219" s="33" t="str">
        <f>IF(Analysis!A131="","",Analysis!BK131)</f>
        <v>No specific plan</v>
      </c>
    </row>
    <row r="220" spans="1:9" ht="14.25" customHeight="1" x14ac:dyDescent="0.25">
      <c r="A220" s="32">
        <f>IF(Analysis!A132="","",Analysis!A132)</f>
        <v>129</v>
      </c>
      <c r="B220" s="33" t="str">
        <f>IF(Analysis!A132="","",Analysis!B132)</f>
        <v>Hili</v>
      </c>
      <c r="C220" s="33" t="str">
        <f>IF(Analysis!A132="","",Analysis!C132)</f>
        <v>Khalfan Bin Matar Al Rumaithi St, Hili - Al Misbah</v>
      </c>
      <c r="D220" s="33" t="str">
        <f>IF(Analysis!A132="","",Analysis!F132)</f>
        <v>Very High</v>
      </c>
      <c r="E220" s="33" t="b">
        <f>IF(Analysis!A132="","",Analysis!BG132)</f>
        <v>1</v>
      </c>
      <c r="F220" s="33" t="str">
        <f>IF(Analysis!A132="","",Analysis!AN132)</f>
        <v>Upgrade Network</v>
      </c>
      <c r="G220" s="33" t="str">
        <f>IF(Analysis!A132="","",Analysis!BA132)</f>
        <v>Hand Over Phase</v>
      </c>
      <c r="H220" s="34">
        <f>IF(Analysis!A132="","",Analysis!BJ132)</f>
        <v>46082</v>
      </c>
      <c r="I220" s="33" t="str">
        <f>IF(Analysis!A132="","",Analysis!BK132)</f>
        <v>No specific plan</v>
      </c>
    </row>
    <row r="221" spans="1:9" ht="14.25" customHeight="1" x14ac:dyDescent="0.25">
      <c r="A221" s="32">
        <f>IF(Analysis!A133="","",Analysis!A133)</f>
        <v>130</v>
      </c>
      <c r="B221" s="33" t="str">
        <f>IF(Analysis!A133="","",Analysis!B133)</f>
        <v>Hili</v>
      </c>
      <c r="C221" s="33" t="str">
        <f>IF(Analysis!A133="","",Analysis!C133)</f>
        <v>Falaj Hili St, Hili - Ugdat Al Husoon</v>
      </c>
      <c r="D221" s="33" t="str">
        <f>IF(Analysis!A133="","",Analysis!F133)</f>
        <v>Very High</v>
      </c>
      <c r="E221" s="33" t="b">
        <f>IF(Analysis!A133="","",Analysis!BG133)</f>
        <v>1</v>
      </c>
      <c r="F221" s="33" t="str">
        <f>IF(Analysis!A133="","",Analysis!AN133)</f>
        <v>Upgrade Network</v>
      </c>
      <c r="G221" s="33" t="str">
        <f>IF(Analysis!A133="","",Analysis!BA133)</f>
        <v>Hand Over Phase</v>
      </c>
      <c r="H221" s="34">
        <f>IF(Analysis!A133="","",Analysis!BJ133)</f>
        <v>46082</v>
      </c>
      <c r="I221" s="33" t="str">
        <f>IF(Analysis!A133="","",Analysis!BK133)</f>
        <v>No specific plan</v>
      </c>
    </row>
    <row r="222" spans="1:9" ht="14.25" customHeight="1" x14ac:dyDescent="0.25">
      <c r="A222" s="32">
        <f>IF(Analysis!A134="","",Analysis!A134)</f>
        <v>131</v>
      </c>
      <c r="B222" s="33" t="str">
        <f>IF(Analysis!A134="","",Analysis!B134)</f>
        <v>Hili</v>
      </c>
      <c r="C222" s="33" t="str">
        <f>IF(Analysis!A134="","",Analysis!C134)</f>
        <v>Mohammed Bin Khalifa St, Hili</v>
      </c>
      <c r="D222" s="33" t="str">
        <f>IF(Analysis!A134="","",Analysis!F134)</f>
        <v>Very High</v>
      </c>
      <c r="E222" s="33" t="b">
        <f>IF(Analysis!A134="","",Analysis!BG134)</f>
        <v>1</v>
      </c>
      <c r="F222" s="33" t="str">
        <f>IF(Analysis!A134="","",Analysis!AN134)</f>
        <v>Based on future design</v>
      </c>
      <c r="G222" s="33" t="str">
        <f>IF(Analysis!A134="","",Analysis!BA134)</f>
        <v>future project</v>
      </c>
      <c r="H222" s="34" t="str">
        <f>IF(Analysis!A134="","",Analysis!BJ134)</f>
        <v>CLIENT INPUT REQUIRED</v>
      </c>
      <c r="I222" s="33" t="str">
        <f>IF(Analysis!A134="","",Analysis!BK134)</f>
        <v>No specific plan</v>
      </c>
    </row>
    <row r="223" spans="1:9" ht="14.25" customHeight="1" x14ac:dyDescent="0.25">
      <c r="A223" s="32">
        <f>IF(Analysis!A135="","",Analysis!A135)</f>
        <v>132</v>
      </c>
      <c r="B223" s="33" t="str">
        <f>IF(Analysis!A135="","",Analysis!B135)</f>
        <v>Hili</v>
      </c>
      <c r="C223" s="33" t="str">
        <f>IF(Analysis!A135="","",Analysis!C135)</f>
        <v>Imran Bin Talhah St, Hili - Al Nayfa 1</v>
      </c>
      <c r="D223" s="33" t="str">
        <f>IF(Analysis!A135="","",Analysis!F135)</f>
        <v>Very High</v>
      </c>
      <c r="E223" s="33" t="b">
        <f>IF(Analysis!A135="","",Analysis!BG135)</f>
        <v>1</v>
      </c>
      <c r="F223" s="33" t="str">
        <f>IF(Analysis!A135="","",Analysis!AN135)</f>
        <v>Based on future design</v>
      </c>
      <c r="G223" s="33" t="str">
        <f>IF(Analysis!A135="","",Analysis!BA135)</f>
        <v>future project</v>
      </c>
      <c r="H223" s="34" t="str">
        <f>IF(Analysis!A135="","",Analysis!BJ135)</f>
        <v>CLIENT INPUT REQUIRED</v>
      </c>
      <c r="I223" s="33" t="str">
        <f>IF(Analysis!A135="","",Analysis!BK135)</f>
        <v>No specific plan</v>
      </c>
    </row>
    <row r="224" spans="1:9" ht="14.25" customHeight="1" x14ac:dyDescent="0.25">
      <c r="A224" s="32">
        <f>IF(Analysis!A136="","",Analysis!A136)</f>
        <v>133</v>
      </c>
      <c r="B224" s="33" t="str">
        <f>IF(Analysis!A136="","",Analysis!B136)</f>
        <v>Hili</v>
      </c>
      <c r="C224" s="33" t="str">
        <f>IF(Analysis!A136="","",Analysis!C136)</f>
        <v>Ramlat Al Ghabbah St, Hili - Al Nayfa 1</v>
      </c>
      <c r="D224" s="33" t="str">
        <f>IF(Analysis!A136="","",Analysis!F136)</f>
        <v>Very High</v>
      </c>
      <c r="E224" s="33" t="b">
        <f>IF(Analysis!A136="","",Analysis!BG136)</f>
        <v>1</v>
      </c>
      <c r="F224" s="33" t="str">
        <f>IF(Analysis!A136="","",Analysis!AN136)</f>
        <v>Upgrade Network</v>
      </c>
      <c r="G224" s="33" t="str">
        <f>IF(Analysis!A136="","",Analysis!BA136)</f>
        <v>Hand Over Phase</v>
      </c>
      <c r="H224" s="34">
        <f>IF(Analysis!A136="","",Analysis!BJ136)</f>
        <v>46082</v>
      </c>
      <c r="I224" s="33" t="str">
        <f>IF(Analysis!A136="","",Analysis!BK136)</f>
        <v>No specific plan</v>
      </c>
    </row>
    <row r="225" spans="1:9" ht="14.25" customHeight="1" x14ac:dyDescent="0.25">
      <c r="A225" s="32">
        <f>IF(Analysis!A137="","",Analysis!A137)</f>
        <v>134</v>
      </c>
      <c r="B225" s="33" t="str">
        <f>IF(Analysis!A137="","",Analysis!B137)</f>
        <v>Hili</v>
      </c>
      <c r="C225" s="33" t="str">
        <f>IF(Analysis!A137="","",Analysis!C137)</f>
        <v>Abu ʹUbaidah Bin Al Jarrah St, Al Fou'ah</v>
      </c>
      <c r="D225" s="33" t="str">
        <f>IF(Analysis!A137="","",Analysis!F137)</f>
        <v>Very High</v>
      </c>
      <c r="E225" s="33" t="b">
        <f>IF(Analysis!A137="","",Analysis!BG137)</f>
        <v>1</v>
      </c>
      <c r="F225" s="33" t="str">
        <f>IF(Analysis!A137="","",Analysis!AN137)</f>
        <v>Based on future design</v>
      </c>
      <c r="G225" s="33" t="str">
        <f>IF(Analysis!A137="","",Analysis!BA137)</f>
        <v>future project</v>
      </c>
      <c r="H225" s="34" t="str">
        <f>IF(Analysis!A137="","",Analysis!BJ137)</f>
        <v>CLIENT INPUT REQUIRED</v>
      </c>
      <c r="I225" s="33" t="str">
        <f>IF(Analysis!A137="","",Analysis!BK137)</f>
        <v>No specific plan</v>
      </c>
    </row>
    <row r="226" spans="1:9" ht="14.25" customHeight="1" x14ac:dyDescent="0.25">
      <c r="A226" s="32">
        <f>IF(Analysis!A138="","",Analysis!A138)</f>
        <v>135</v>
      </c>
      <c r="B226" s="33" t="str">
        <f>IF(Analysis!A138="","",Analysis!B138)</f>
        <v>Hili</v>
      </c>
      <c r="C226" s="33" t="str">
        <f>IF(Analysis!A138="","",Analysis!C138)</f>
        <v>Al Reef, Hili Area</v>
      </c>
      <c r="D226" s="33" t="str">
        <f>IF(Analysis!A138="","",Analysis!F138)</f>
        <v>Very High</v>
      </c>
      <c r="E226" s="33" t="b">
        <f>IF(Analysis!A138="","",Analysis!BG138)</f>
        <v>1</v>
      </c>
      <c r="F226" s="33" t="str">
        <f>IF(Analysis!A138="","",Analysis!AN138)</f>
        <v>Based on future design</v>
      </c>
      <c r="G226" s="33" t="str">
        <f>IF(Analysis!A138="","",Analysis!BA138)</f>
        <v>future project</v>
      </c>
      <c r="H226" s="34" t="str">
        <f>IF(Analysis!A138="","",Analysis!BJ138)</f>
        <v>CLIENT INPUT REQUIRED</v>
      </c>
      <c r="I226" s="33" t="str">
        <f>IF(Analysis!A138="","",Analysis!BK138)</f>
        <v>No specific plan</v>
      </c>
    </row>
    <row r="227" spans="1:9" ht="14.25" customHeight="1" x14ac:dyDescent="0.25">
      <c r="A227" s="32">
        <f>IF(Analysis!A139="","",Analysis!A139)</f>
        <v>136</v>
      </c>
      <c r="B227" s="33" t="str">
        <f>IF(Analysis!A139="","",Analysis!B139)</f>
        <v>Industrial Area</v>
      </c>
      <c r="C227" s="33" t="str">
        <f>IF(Analysis!A139="","",Analysis!C139)</f>
        <v>Al Naglah, Industrial Area</v>
      </c>
      <c r="D227" s="33" t="str">
        <f>IF(Analysis!A139="","",Analysis!F139)</f>
        <v>Very High</v>
      </c>
      <c r="E227" s="33" t="b">
        <f>IF(Analysis!A139="","",Analysis!BG139)</f>
        <v>1</v>
      </c>
      <c r="F227" s="33" t="str">
        <f>IF(Analysis!A139="","",Analysis!AN139)</f>
        <v>Upgrade Network</v>
      </c>
      <c r="G227" s="33" t="str">
        <f>IF(Analysis!A139="","",Analysis!BA139)</f>
        <v>Design phase</v>
      </c>
      <c r="H227" s="34">
        <f>IF(Analysis!A139="","",Analysis!BJ139)</f>
        <v>46722</v>
      </c>
      <c r="I227" s="33" t="str">
        <f>IF(Analysis!A139="","",Analysis!BK139)</f>
        <v>No specific plan</v>
      </c>
    </row>
    <row r="228" spans="1:9" ht="14.25" customHeight="1" x14ac:dyDescent="0.25">
      <c r="A228" s="32">
        <f>IF(Analysis!A140="","",Analysis!A140)</f>
        <v>137</v>
      </c>
      <c r="B228" s="33" t="str">
        <f>IF(Analysis!A140="","",Analysis!B140)</f>
        <v>Industrial Area</v>
      </c>
      <c r="C228" s="33" t="str">
        <f>IF(Analysis!A140="","",Analysis!C140)</f>
        <v>Al Naglah, Industrial Area</v>
      </c>
      <c r="D228" s="33" t="str">
        <f>IF(Analysis!A140="","",Analysis!F140)</f>
        <v>Very High</v>
      </c>
      <c r="E228" s="33" t="b">
        <f>IF(Analysis!A140="","",Analysis!BG140)</f>
        <v>1</v>
      </c>
      <c r="F228" s="33" t="str">
        <f>IF(Analysis!A140="","",Analysis!AN140)</f>
        <v>Upgrade Network</v>
      </c>
      <c r="G228" s="33" t="str">
        <f>IF(Analysis!A140="","",Analysis!BA140)</f>
        <v>Design phase</v>
      </c>
      <c r="H228" s="34">
        <f>IF(Analysis!A140="","",Analysis!BJ140)</f>
        <v>46722</v>
      </c>
      <c r="I228" s="33" t="str">
        <f>IF(Analysis!A140="","",Analysis!BK140)</f>
        <v>No specific plan</v>
      </c>
    </row>
    <row r="229" spans="1:9" ht="14.25" customHeight="1" x14ac:dyDescent="0.25">
      <c r="A229" s="32">
        <f>IF(Analysis!A141="","",Analysis!A141)</f>
        <v>138</v>
      </c>
      <c r="B229" s="33" t="str">
        <f>IF(Analysis!A141="","",Analysis!B141)</f>
        <v>Industrial Area</v>
      </c>
      <c r="C229" s="33" t="str">
        <f>IF(Analysis!A141="","",Analysis!C141)</f>
        <v>Shiebat Al Salam, Industrial Area</v>
      </c>
      <c r="D229" s="33" t="str">
        <f>IF(Analysis!A141="","",Analysis!F141)</f>
        <v>Very High</v>
      </c>
      <c r="E229" s="33" t="b">
        <f>IF(Analysis!A141="","",Analysis!BG141)</f>
        <v>1</v>
      </c>
      <c r="F229" s="33" t="str">
        <f>IF(Analysis!A141="","",Analysis!AN141)</f>
        <v>Upgrade Network</v>
      </c>
      <c r="G229" s="33" t="str">
        <f>IF(Analysis!A141="","",Analysis!BA141)</f>
        <v>Design phase</v>
      </c>
      <c r="H229" s="34">
        <f>IF(Analysis!A141="","",Analysis!BJ141)</f>
        <v>46722</v>
      </c>
      <c r="I229" s="33" t="str">
        <f>IF(Analysis!A141="","",Analysis!BK141)</f>
        <v>No specific plan</v>
      </c>
    </row>
    <row r="230" spans="1:9" ht="14.25" customHeight="1" x14ac:dyDescent="0.25">
      <c r="A230" s="32">
        <f>IF(Analysis!A142="","",Analysis!A142)</f>
        <v>139</v>
      </c>
      <c r="B230" s="33" t="str">
        <f>IF(Analysis!A142="","",Analysis!B142)</f>
        <v>Industrial Area</v>
      </c>
      <c r="C230" s="33" t="str">
        <f>IF(Analysis!A142="","",Analysis!C142)</f>
        <v>As Siham 2 St, Industrial Area - Leetag</v>
      </c>
      <c r="D230" s="33" t="str">
        <f>IF(Analysis!A142="","",Analysis!F142)</f>
        <v>Very High</v>
      </c>
      <c r="E230" s="33" t="b">
        <f>IF(Analysis!A142="","",Analysis!BG142)</f>
        <v>1</v>
      </c>
      <c r="F230" s="33" t="str">
        <f>IF(Analysis!A142="","",Analysis!AN142)</f>
        <v>Upgrade Network</v>
      </c>
      <c r="G230" s="33" t="str">
        <f>IF(Analysis!A142="","",Analysis!BA142)</f>
        <v>Design phase</v>
      </c>
      <c r="H230" s="34">
        <f>IF(Analysis!A142="","",Analysis!BJ142)</f>
        <v>46722</v>
      </c>
      <c r="I230" s="33" t="str">
        <f>IF(Analysis!A142="","",Analysis!BK142)</f>
        <v>No specific plan</v>
      </c>
    </row>
    <row r="231" spans="1:9" ht="14.25" customHeight="1" x14ac:dyDescent="0.25">
      <c r="A231" s="32">
        <f>IF(Analysis!A143="","",Analysis!A143)</f>
        <v>140</v>
      </c>
      <c r="B231" s="33" t="str">
        <f>IF(Analysis!A143="","",Analysis!B143)</f>
        <v>Industrial Area</v>
      </c>
      <c r="C231" s="33" t="str">
        <f>IF(Analysis!A143="","",Analysis!C143)</f>
        <v>Sanaiyah Tunnel, Khalid Bin Sultan St, Al Mutaw'ah - Hai Al Musalla</v>
      </c>
      <c r="D231" s="33" t="str">
        <f>IF(Analysis!A143="","",Analysis!F143)</f>
        <v>Very High</v>
      </c>
      <c r="E231" s="33" t="b">
        <f>IF(Analysis!A143="","",Analysis!BG143)</f>
        <v>1</v>
      </c>
      <c r="F231" s="33" t="str">
        <f>IF(Analysis!A143="","",Analysis!AN143)</f>
        <v>Upgrade Underpass drainage system</v>
      </c>
      <c r="G231" s="33" t="str">
        <f>IF(Analysis!A143="","",Analysis!BA143)</f>
        <v>Design phase</v>
      </c>
      <c r="H231" s="34">
        <f>IF(Analysis!A143="","",Analysis!BJ143)</f>
        <v>46753</v>
      </c>
      <c r="I231" s="33" t="str">
        <f>IF(Analysis!A143="","",Analysis!BK143)</f>
        <v>No specific plan</v>
      </c>
    </row>
    <row r="232" spans="1:9" ht="14.25" customHeight="1" x14ac:dyDescent="0.25">
      <c r="A232" s="32">
        <f>IF(Analysis!A144="","",Analysis!A144)</f>
        <v>141</v>
      </c>
      <c r="B232" s="33" t="str">
        <f>IF(Analysis!A144="","",Analysis!B144)</f>
        <v>Industrial Area</v>
      </c>
      <c r="C232" s="33" t="str">
        <f>IF(Analysis!A144="","",Analysis!C144)</f>
        <v>Al Aras, Industrial Area</v>
      </c>
      <c r="D232" s="33" t="str">
        <f>IF(Analysis!A144="","",Analysis!F144)</f>
        <v>Very High</v>
      </c>
      <c r="E232" s="33" t="b">
        <f>IF(Analysis!A144="","",Analysis!BG144)</f>
        <v>1</v>
      </c>
      <c r="F232" s="33" t="str">
        <f>IF(Analysis!A144="","",Analysis!AN144)</f>
        <v>Upgrade Network</v>
      </c>
      <c r="G232" s="33" t="str">
        <f>IF(Analysis!A144="","",Analysis!BA144)</f>
        <v>Design phase</v>
      </c>
      <c r="H232" s="34">
        <f>IF(Analysis!A144="","",Analysis!BJ144)</f>
        <v>46722</v>
      </c>
      <c r="I232" s="33" t="str">
        <f>IF(Analysis!A144="","",Analysis!BK144)</f>
        <v>No specific plan</v>
      </c>
    </row>
    <row r="233" spans="1:9" ht="14.25" customHeight="1" x14ac:dyDescent="0.25">
      <c r="A233" s="32">
        <f>IF(Analysis!A145="","",Analysis!A145)</f>
        <v>142</v>
      </c>
      <c r="B233" s="33" t="str">
        <f>IF(Analysis!A145="","",Analysis!B145)</f>
        <v>Industrial Area</v>
      </c>
      <c r="C233" s="33" t="str">
        <f>IF(Analysis!A145="","",Analysis!C145)</f>
        <v>Cement Factory R/A Green Mubazzarah 1</v>
      </c>
      <c r="D233" s="33" t="str">
        <f>IF(Analysis!A145="","",Analysis!F145)</f>
        <v>Very High</v>
      </c>
      <c r="E233" s="33" t="b">
        <f>IF(Analysis!A145="","",Analysis!BG145)</f>
        <v>1</v>
      </c>
      <c r="F233" s="33" t="str">
        <f>IF(Analysis!A145="","",Analysis!AN145)</f>
        <v>Based on future design</v>
      </c>
      <c r="G233" s="33" t="str">
        <f>IF(Analysis!A145="","",Analysis!BA145)</f>
        <v>future project</v>
      </c>
      <c r="H233" s="34" t="str">
        <f>IF(Analysis!A145="","",Analysis!BJ145)</f>
        <v>CLIENT INPUT REQUIRED</v>
      </c>
      <c r="I233" s="33" t="str">
        <f>IF(Analysis!A145="","",Analysis!BK145)</f>
        <v>No specific plan</v>
      </c>
    </row>
    <row r="234" spans="1:9" ht="14.25" customHeight="1" x14ac:dyDescent="0.25">
      <c r="A234" s="32">
        <f>IF(Analysis!A146="","",Analysis!A146)</f>
        <v>143</v>
      </c>
      <c r="B234" s="33" t="str">
        <f>IF(Analysis!A146="","",Analysis!B146)</f>
        <v>Masakin</v>
      </c>
      <c r="C234" s="33" t="str">
        <f>IF(Analysis!A146="","",Analysis!C146)</f>
        <v>1024 Rd, Masakin - Ghshabah</v>
      </c>
      <c r="D234" s="33" t="str">
        <f>IF(Analysis!A146="","",Analysis!F146)</f>
        <v>Medium</v>
      </c>
      <c r="E234" s="33" t="b">
        <f>IF(Analysis!A146="","",Analysis!BG146)</f>
        <v>1</v>
      </c>
      <c r="F234" s="33" t="str">
        <f>IF(Analysis!A146="","",Analysis!AN146)</f>
        <v>Pond/Side slope protection</v>
      </c>
      <c r="G234" s="33" t="str">
        <f>IF(Analysis!A146="","",Analysis!BA146)</f>
        <v>Design phase</v>
      </c>
      <c r="H234" s="34">
        <f>IF(Analysis!A146="","",Analysis!BJ146)</f>
        <v>46722</v>
      </c>
      <c r="I234" s="33" t="str">
        <f>IF(Analysis!A146="","",Analysis!BK146)</f>
        <v>No specific plan</v>
      </c>
    </row>
    <row r="235" spans="1:9" ht="14.25" customHeight="1" x14ac:dyDescent="0.25">
      <c r="A235" s="32">
        <f>IF(Analysis!A147="","",Analysis!A147)</f>
        <v>144</v>
      </c>
      <c r="B235" s="33" t="str">
        <f>IF(Analysis!A147="","",Analysis!B147)</f>
        <v>Masakin</v>
      </c>
      <c r="C235" s="33" t="str">
        <f>IF(Analysis!A147="","",Analysis!C147)</f>
        <v>Al Adhamiyah, Masakin</v>
      </c>
      <c r="D235" s="33" t="str">
        <f>IF(Analysis!A147="","",Analysis!F147)</f>
        <v>Medium</v>
      </c>
      <c r="E235" s="33" t="b">
        <f>IF(Analysis!A147="","",Analysis!BG147)</f>
        <v>1</v>
      </c>
      <c r="F235" s="33" t="str">
        <f>IF(Analysis!A147="","",Analysis!AN147)</f>
        <v>Pond/Side slope protection</v>
      </c>
      <c r="G235" s="33" t="str">
        <f>IF(Analysis!A147="","",Analysis!BA147)</f>
        <v>Design phase</v>
      </c>
      <c r="H235" s="34">
        <f>IF(Analysis!A147="","",Analysis!BJ147)</f>
        <v>46722</v>
      </c>
      <c r="I235" s="33" t="str">
        <f>IF(Analysis!A147="","",Analysis!BK147)</f>
        <v>No specific plan</v>
      </c>
    </row>
    <row r="236" spans="1:9" ht="14.25" customHeight="1" x14ac:dyDescent="0.25">
      <c r="A236" s="32">
        <f>IF(Analysis!A148="","",Analysis!A148)</f>
        <v>145</v>
      </c>
      <c r="B236" s="33" t="str">
        <f>IF(Analysis!A148="","",Analysis!B148)</f>
        <v>Masakin</v>
      </c>
      <c r="C236" s="33" t="str">
        <f>IF(Analysis!A148="","",Analysis!C148)</f>
        <v>Al Adhamiyah, Masakin</v>
      </c>
      <c r="D236" s="33" t="str">
        <f>IF(Analysis!A148="","",Analysis!F148)</f>
        <v>Medium</v>
      </c>
      <c r="E236" s="33" t="b">
        <f>IF(Analysis!A148="","",Analysis!BG148)</f>
        <v>1</v>
      </c>
      <c r="F236" s="33" t="str">
        <f>IF(Analysis!A148="","",Analysis!AN148)</f>
        <v>Pond/Side slope protection</v>
      </c>
      <c r="G236" s="33" t="str">
        <f>IF(Analysis!A148="","",Analysis!BA148)</f>
        <v>Design phase</v>
      </c>
      <c r="H236" s="34">
        <f>IF(Analysis!A148="","",Analysis!BJ148)</f>
        <v>46722</v>
      </c>
      <c r="I236" s="33" t="str">
        <f>IF(Analysis!A148="","",Analysis!BK148)</f>
        <v>No specific plan</v>
      </c>
    </row>
    <row r="237" spans="1:9" ht="14.25" customHeight="1" x14ac:dyDescent="0.25">
      <c r="A237" s="32">
        <f>IF(Analysis!A149="","",Analysis!A149)</f>
        <v>146</v>
      </c>
      <c r="B237" s="33" t="str">
        <f>IF(Analysis!A149="","",Analysis!B149)</f>
        <v>Nahil</v>
      </c>
      <c r="C237" s="33" t="str">
        <f>IF(Analysis!A149="","",Analysis!C149)</f>
        <v>Al Shaqq, Nahil</v>
      </c>
      <c r="D237" s="33" t="str">
        <f>IF(Analysis!A149="","",Analysis!F149)</f>
        <v>Medium</v>
      </c>
      <c r="E237" s="33" t="b">
        <f>IF(Analysis!A149="","",Analysis!BG149)</f>
        <v>1</v>
      </c>
      <c r="F237" s="33" t="str">
        <f>IF(Analysis!A149="","",Analysis!AN149)</f>
        <v>Pond/Side slope protection</v>
      </c>
      <c r="G237" s="33" t="str">
        <f>IF(Analysis!A149="","",Analysis!BA149)</f>
        <v>Design phase</v>
      </c>
      <c r="H237" s="34">
        <f>IF(Analysis!A149="","",Analysis!BJ149)</f>
        <v>46722</v>
      </c>
      <c r="I237" s="33" t="str">
        <f>IF(Analysis!A149="","",Analysis!BK149)</f>
        <v>No specific plan</v>
      </c>
    </row>
    <row r="238" spans="1:9" ht="14.25" customHeight="1" x14ac:dyDescent="0.25">
      <c r="A238" s="32">
        <f>IF(Analysis!A150="","",Analysis!A150)</f>
        <v>147</v>
      </c>
      <c r="B238" s="33" t="str">
        <f>IF(Analysis!A150="","",Analysis!B150)</f>
        <v>Nahil</v>
      </c>
      <c r="C238" s="33" t="str">
        <f>IF(Analysis!A150="","",Analysis!C150)</f>
        <v>Masakkin</v>
      </c>
      <c r="D238" s="33" t="str">
        <f>IF(Analysis!A150="","",Analysis!F150)</f>
        <v>Medium</v>
      </c>
      <c r="E238" s="33" t="b">
        <f>IF(Analysis!A150="","",Analysis!BG150)</f>
        <v>1</v>
      </c>
      <c r="F238" s="33" t="str">
        <f>IF(Analysis!A150="","",Analysis!AN150)</f>
        <v>Pond/Side slope protection</v>
      </c>
      <c r="G238" s="33" t="str">
        <f>IF(Analysis!A150="","",Analysis!BA150)</f>
        <v>Design phase</v>
      </c>
      <c r="H238" s="34">
        <f>IF(Analysis!A150="","",Analysis!BJ150)</f>
        <v>46722</v>
      </c>
      <c r="I238" s="33" t="str">
        <f>IF(Analysis!A150="","",Analysis!BK150)</f>
        <v>No specific plan</v>
      </c>
    </row>
    <row r="239" spans="1:9" ht="14.25" customHeight="1" x14ac:dyDescent="0.25">
      <c r="A239" s="32">
        <f>IF(Analysis!A151="","",Analysis!A151)</f>
        <v>148</v>
      </c>
      <c r="B239" s="33" t="str">
        <f>IF(Analysis!A151="","",Analysis!B151)</f>
        <v>Nahil</v>
      </c>
      <c r="C239" s="33" t="str">
        <f>IF(Analysis!A151="","",Analysis!C151)</f>
        <v>E95, Nahil - Nahil 5</v>
      </c>
      <c r="D239" s="33" t="str">
        <f>IF(Analysis!A151="","",Analysis!F151)</f>
        <v>High</v>
      </c>
      <c r="E239" s="33" t="b">
        <f>IF(Analysis!A151="","",Analysis!BG151)</f>
        <v>1</v>
      </c>
      <c r="F239" s="33" t="str">
        <f>IF(Analysis!A151="","",Analysis!AN151)</f>
        <v>Pond/Side slope protection</v>
      </c>
      <c r="G239" s="33" t="str">
        <f>IF(Analysis!A151="","",Analysis!BA151)</f>
        <v>Design phase</v>
      </c>
      <c r="H239" s="34">
        <f>IF(Analysis!A151="","",Analysis!BJ151)</f>
        <v>46722</v>
      </c>
      <c r="I239" s="33" t="str">
        <f>IF(Analysis!A151="","",Analysis!BK151)</f>
        <v>No specific plan</v>
      </c>
    </row>
    <row r="240" spans="1:9" ht="14.25" customHeight="1" x14ac:dyDescent="0.25">
      <c r="A240" s="32">
        <f>IF(Analysis!A152="","",Analysis!A152)</f>
        <v>149</v>
      </c>
      <c r="B240" s="33" t="str">
        <f>IF(Analysis!A152="","",Analysis!B152)</f>
        <v>Saih Al Gharbal</v>
      </c>
      <c r="C240" s="33" t="str">
        <f>IF(Analysis!A152="","",Analysis!C152)</f>
        <v>E30, Saih Al Gharbal</v>
      </c>
      <c r="D240" s="33" t="str">
        <f>IF(Analysis!A152="","",Analysis!F152)</f>
        <v>High</v>
      </c>
      <c r="E240" s="33" t="b">
        <f>IF(Analysis!A152="","",Analysis!BG152)</f>
        <v>1</v>
      </c>
      <c r="F240" s="33" t="str">
        <f>IF(Analysis!A152="","",Analysis!AN152)</f>
        <v>Based on future design</v>
      </c>
      <c r="G240" s="33" t="str">
        <f>IF(Analysis!A152="","",Analysis!BA152)</f>
        <v>future project</v>
      </c>
      <c r="H240" s="34" t="str">
        <f>IF(Analysis!A152="","",Analysis!BJ152)</f>
        <v>CLIENT INPUT REQUIRED</v>
      </c>
      <c r="I240" s="33" t="str">
        <f>IF(Analysis!A152="","",Analysis!BK152)</f>
        <v>No specific plan</v>
      </c>
    </row>
    <row r="241" spans="1:9" ht="14.25" customHeight="1" x14ac:dyDescent="0.25">
      <c r="A241" s="32">
        <f>IF(Analysis!A153="","",Analysis!A153)</f>
        <v>150</v>
      </c>
      <c r="B241" s="33" t="str">
        <f>IF(Analysis!A153="","",Analysis!B153)</f>
        <v>Saih Al Gharbal</v>
      </c>
      <c r="C241" s="33" t="str">
        <f>IF(Analysis!A153="","",Analysis!C153)</f>
        <v>Saih Al Gharbal, Al Rawdah E30</v>
      </c>
      <c r="D241" s="33" t="str">
        <f>IF(Analysis!A153="","",Analysis!F153)</f>
        <v>High</v>
      </c>
      <c r="E241" s="33" t="b">
        <f>IF(Analysis!A153="","",Analysis!BG153)</f>
        <v>1</v>
      </c>
      <c r="F241" s="33" t="str">
        <f>IF(Analysis!A153="","",Analysis!AN153)</f>
        <v>Based on future design</v>
      </c>
      <c r="G241" s="33" t="str">
        <f>IF(Analysis!A153="","",Analysis!BA153)</f>
        <v>future project</v>
      </c>
      <c r="H241" s="34" t="str">
        <f>IF(Analysis!A153="","",Analysis!BJ153)</f>
        <v>CLIENT INPUT REQUIRED</v>
      </c>
      <c r="I241" s="33" t="str">
        <f>IF(Analysis!A153="","",Analysis!BK153)</f>
        <v>No specific plan</v>
      </c>
    </row>
    <row r="242" spans="1:9" ht="14.25" customHeight="1" x14ac:dyDescent="0.25">
      <c r="A242" s="32">
        <f>IF(Analysis!A154="","",Analysis!A154)</f>
        <v>151</v>
      </c>
      <c r="B242" s="33" t="str">
        <f>IF(Analysis!A154="","",Analysis!B154)</f>
        <v>Saih Al Gharbal</v>
      </c>
      <c r="C242" s="33" t="str">
        <f>IF(Analysis!A154="","",Analysis!C154)</f>
        <v>E30, Al Salamat - Sayh Al Daay, Ar Rawdah Rd</v>
      </c>
      <c r="D242" s="33" t="str">
        <f>IF(Analysis!A154="","",Analysis!F154)</f>
        <v>High</v>
      </c>
      <c r="E242" s="33" t="b">
        <f>IF(Analysis!A154="","",Analysis!BG154)</f>
        <v>1</v>
      </c>
      <c r="F242" s="33" t="str">
        <f>IF(Analysis!A154="","",Analysis!AN154)</f>
        <v>Based on future design</v>
      </c>
      <c r="G242" s="33" t="str">
        <f>IF(Analysis!A154="","",Analysis!BA154)</f>
        <v>future project</v>
      </c>
      <c r="H242" s="34" t="str">
        <f>IF(Analysis!A154="","",Analysis!BJ154)</f>
        <v>CLIENT INPUT REQUIRED</v>
      </c>
      <c r="I242" s="33" t="str">
        <f>IF(Analysis!A154="","",Analysis!BK154)</f>
        <v>No specific plan</v>
      </c>
    </row>
    <row r="243" spans="1:9" ht="14.25" customHeight="1" x14ac:dyDescent="0.25">
      <c r="A243" s="32">
        <f>IF(Analysis!A155="","",Analysis!A155)</f>
        <v>152</v>
      </c>
      <c r="B243" s="33" t="str">
        <f>IF(Analysis!A155="","",Analysis!B155)</f>
        <v>Saih Al Gharbal</v>
      </c>
      <c r="C243" s="33" t="str">
        <f>IF(Analysis!A155="","",Analysis!C155)</f>
        <v>E30, Al Salamat - Sayh Al Daay - Ar Rawdh Rd</v>
      </c>
      <c r="D243" s="33" t="str">
        <f>IF(Analysis!A155="","",Analysis!F155)</f>
        <v>High</v>
      </c>
      <c r="E243" s="33" t="b">
        <f>IF(Analysis!A155="","",Analysis!BG155)</f>
        <v>1</v>
      </c>
      <c r="F243" s="33" t="str">
        <f>IF(Analysis!A155="","",Analysis!AN155)</f>
        <v>Based on future design</v>
      </c>
      <c r="G243" s="33" t="str">
        <f>IF(Analysis!A155="","",Analysis!BA155)</f>
        <v>future project</v>
      </c>
      <c r="H243" s="34" t="str">
        <f>IF(Analysis!A155="","",Analysis!BJ155)</f>
        <v>CLIENT INPUT REQUIRED</v>
      </c>
      <c r="I243" s="33" t="str">
        <f>IF(Analysis!A155="","",Analysis!BK155)</f>
        <v>No specific plan</v>
      </c>
    </row>
    <row r="244" spans="1:9" ht="14.25" customHeight="1" x14ac:dyDescent="0.25">
      <c r="A244" s="32">
        <f>IF(Analysis!A156="","",Analysis!A156)</f>
        <v>153</v>
      </c>
      <c r="B244" s="33" t="str">
        <f>IF(Analysis!A156="","",Analysis!B156)</f>
        <v>Al Masoudi</v>
      </c>
      <c r="C244" s="33" t="str">
        <f>IF(Analysis!A156="","",Analysis!C156)</f>
        <v>6-12 Al Mataf St, Al Mas'oudi - Al Gaseemah</v>
      </c>
      <c r="D244" s="33" t="str">
        <f>IF(Analysis!A156="","",Analysis!F156)</f>
        <v>Medium</v>
      </c>
      <c r="E244" s="33" t="b">
        <f>IF(Analysis!A156="","",Analysis!BG156)</f>
        <v>1</v>
      </c>
      <c r="F244" s="33" t="str">
        <f>IF(Analysis!A156="","",Analysis!AN156)</f>
        <v>Based on future design</v>
      </c>
      <c r="G244" s="33" t="str">
        <f>IF(Analysis!A156="","",Analysis!BA156)</f>
        <v>future project</v>
      </c>
      <c r="H244" s="34" t="str">
        <f>IF(Analysis!A156="","",Analysis!BJ156)</f>
        <v>CLIENT INPUT REQUIRED</v>
      </c>
      <c r="I244" s="33" t="str">
        <f>IF(Analysis!A156="","",Analysis!BK156)</f>
        <v>No specific plan</v>
      </c>
    </row>
    <row r="245" spans="1:9" ht="14.25" customHeight="1" x14ac:dyDescent="0.25">
      <c r="A245" s="32">
        <f>IF(Analysis!A157="","",Analysis!A157)</f>
        <v>154</v>
      </c>
      <c r="B245" s="33" t="str">
        <f>IF(Analysis!A157="","",Analysis!B157)</f>
        <v>Al Masoudi</v>
      </c>
      <c r="C245" s="33" t="str">
        <f>IF(Analysis!A157="","",Analysis!C157)</f>
        <v>Al Mubtahil St, Al Mas'oudi - Al Gaseemah</v>
      </c>
      <c r="D245" s="33" t="str">
        <f>IF(Analysis!A157="","",Analysis!F157)</f>
        <v>Medium</v>
      </c>
      <c r="E245" s="33" t="b">
        <f>IF(Analysis!A157="","",Analysis!BG157)</f>
        <v>1</v>
      </c>
      <c r="F245" s="33" t="str">
        <f>IF(Analysis!A157="","",Analysis!AN157)</f>
        <v>Based on future design</v>
      </c>
      <c r="G245" s="33" t="str">
        <f>IF(Analysis!A157="","",Analysis!BA157)</f>
        <v>future project</v>
      </c>
      <c r="H245" s="34" t="str">
        <f>IF(Analysis!A157="","",Analysis!BJ157)</f>
        <v>CLIENT INPUT REQUIRED</v>
      </c>
      <c r="I245" s="33" t="str">
        <f>IF(Analysis!A157="","",Analysis!BK157)</f>
        <v>No specific plan</v>
      </c>
    </row>
    <row r="246" spans="1:9" ht="14.25" customHeight="1" x14ac:dyDescent="0.25">
      <c r="A246" s="32">
        <f>IF(Analysis!A158="","",Analysis!A158)</f>
        <v>155</v>
      </c>
      <c r="B246" s="33" t="str">
        <f>IF(Analysis!A158="","",Analysis!B158)</f>
        <v>Al Masoudi</v>
      </c>
      <c r="C246" s="33" t="str">
        <f>IF(Analysis!A158="","",Analysis!C158)</f>
        <v>Tahnoun Bin Mohammed Al Nahyan Rd. Tunnel, Batha Bin Hilal, Al Tiwayya</v>
      </c>
      <c r="D246" s="33" t="str">
        <f>IF(Analysis!A158="","",Analysis!F158)</f>
        <v>Medium</v>
      </c>
      <c r="E246" s="33" t="b">
        <f>IF(Analysis!A158="","",Analysis!BG158)</f>
        <v>1</v>
      </c>
      <c r="F246" s="33" t="str">
        <f>IF(Analysis!A158="","",Analysis!AN158)</f>
        <v>Upgrade Underpass drainage system</v>
      </c>
      <c r="G246" s="33" t="str">
        <f>IF(Analysis!A158="","",Analysis!BA158)</f>
        <v>Design phase</v>
      </c>
      <c r="H246" s="34">
        <f>IF(Analysis!A158="","",Analysis!BJ158)</f>
        <v>46753</v>
      </c>
      <c r="I246" s="33" t="str">
        <f>IF(Analysis!A158="","",Analysis!BK158)</f>
        <v>No specific plan</v>
      </c>
    </row>
    <row r="247" spans="1:9" ht="14.25" customHeight="1" x14ac:dyDescent="0.25">
      <c r="A247" s="32">
        <f>IF(Analysis!A159="","",Analysis!A159)</f>
        <v>156</v>
      </c>
      <c r="B247" s="33" t="str">
        <f>IF(Analysis!A159="","",Analysis!B159)</f>
        <v>Al Masoudi</v>
      </c>
      <c r="C247" s="33" t="str">
        <f>IF(Analysis!A159="","",Analysis!C159)</f>
        <v>Tahnoun Bin Mohammed Al Nahyan Rd. Tunnel, Batha Bin Hilal, Al Tiwayya</v>
      </c>
      <c r="D247" s="33" t="str">
        <f>IF(Analysis!A159="","",Analysis!F159)</f>
        <v>Medium</v>
      </c>
      <c r="E247" s="33" t="b">
        <f>IF(Analysis!A159="","",Analysis!BG159)</f>
        <v>1</v>
      </c>
      <c r="F247" s="33" t="str">
        <f>IF(Analysis!A159="","",Analysis!AN159)</f>
        <v>Upgrade Network</v>
      </c>
      <c r="G247" s="33" t="str">
        <f>IF(Analysis!A159="","",Analysis!BA159)</f>
        <v>Design phase</v>
      </c>
      <c r="H247" s="34">
        <f>IF(Analysis!A159="","",Analysis!BJ159)</f>
        <v>47088</v>
      </c>
      <c r="I247" s="33" t="str">
        <f>IF(Analysis!A159="","",Analysis!BK159)</f>
        <v>No specific plan</v>
      </c>
    </row>
    <row r="248" spans="1:9" ht="14.25" customHeight="1" x14ac:dyDescent="0.25">
      <c r="A248" s="32">
        <f>IF(Analysis!A160="","",Analysis!A160)</f>
        <v>157</v>
      </c>
      <c r="B248" s="33" t="str">
        <f>IF(Analysis!A160="","",Analysis!B160)</f>
        <v>Al Masoudi</v>
      </c>
      <c r="C248" s="33" t="str">
        <f>IF(Analysis!A160="","",Analysis!C160)</f>
        <v>Al Abtal St, Al Mas'oudi - Manazef</v>
      </c>
      <c r="D248" s="33" t="str">
        <f>IF(Analysis!A160="","",Analysis!F160)</f>
        <v>Medium</v>
      </c>
      <c r="E248" s="33" t="b">
        <f>IF(Analysis!A160="","",Analysis!BG160)</f>
        <v>1</v>
      </c>
      <c r="F248" s="33" t="str">
        <f>IF(Analysis!A160="","",Analysis!AN160)</f>
        <v>Upgrade Network</v>
      </c>
      <c r="G248" s="33" t="str">
        <f>IF(Analysis!A160="","",Analysis!BA160)</f>
        <v>Hand Over Phase</v>
      </c>
      <c r="H248" s="34">
        <f>IF(Analysis!A160="","",Analysis!BJ160)</f>
        <v>46082</v>
      </c>
      <c r="I248" s="33" t="str">
        <f>IF(Analysis!A160="","",Analysis!BK160)</f>
        <v>No specific plan</v>
      </c>
    </row>
    <row r="249" spans="1:9" ht="14.25" customHeight="1" x14ac:dyDescent="0.25">
      <c r="A249" s="32">
        <f>IF(Analysis!A161="","",Analysis!A161)</f>
        <v>158</v>
      </c>
      <c r="B249" s="33" t="str">
        <f>IF(Analysis!A161="","",Analysis!B161)</f>
        <v>Bad Bint Saud</v>
      </c>
      <c r="C249" s="33" t="str">
        <f>IF(Analysis!A161="","",Analysis!C161)</f>
        <v>Al Sharf, Bad' Bint Sa'oud</v>
      </c>
      <c r="D249" s="33" t="str">
        <f>IF(Analysis!A161="","",Analysis!F161)</f>
        <v>Medium</v>
      </c>
      <c r="E249" s="33" t="b">
        <f>IF(Analysis!A161="","",Analysis!BG161)</f>
        <v>1</v>
      </c>
      <c r="F249" s="33" t="str">
        <f>IF(Analysis!A161="","",Analysis!AN161)</f>
        <v>Pond/Side slope protection</v>
      </c>
      <c r="G249" s="33" t="str">
        <f>IF(Analysis!A161="","",Analysis!BA161)</f>
        <v>Design phase</v>
      </c>
      <c r="H249" s="34">
        <f>IF(Analysis!A161="","",Analysis!BJ161)</f>
        <v>46722</v>
      </c>
      <c r="I249" s="33" t="str">
        <f>IF(Analysis!A161="","",Analysis!BK161)</f>
        <v>No specific plan</v>
      </c>
    </row>
    <row r="250" spans="1:9" ht="14.25" customHeight="1" x14ac:dyDescent="0.25">
      <c r="A250" s="32">
        <f>IF(Analysis!A162="","",Analysis!A162)</f>
        <v>159</v>
      </c>
      <c r="B250" s="33" t="str">
        <f>IF(Analysis!A162="","",Analysis!B162)</f>
        <v>Bad Bint Saud</v>
      </c>
      <c r="C250" s="33" t="str">
        <f>IF(Analysis!A162="","",Analysis!C162)</f>
        <v>E95, Bad' Bint Sa'oud - Qarn Bint Saud</v>
      </c>
      <c r="D250" s="33" t="str">
        <f>IF(Analysis!A162="","",Analysis!F162)</f>
        <v>High</v>
      </c>
      <c r="E250" s="33" t="b">
        <f>IF(Analysis!A162="","",Analysis!BG162)</f>
        <v>1</v>
      </c>
      <c r="F250" s="33" t="str">
        <f>IF(Analysis!A162="","",Analysis!AN162)</f>
        <v>Pond/Side slope protection</v>
      </c>
      <c r="G250" s="33" t="str">
        <f>IF(Analysis!A162="","",Analysis!BA162)</f>
        <v>Design phase</v>
      </c>
      <c r="H250" s="34">
        <f>IF(Analysis!A162="","",Analysis!BJ162)</f>
        <v>46722</v>
      </c>
      <c r="I250" s="33" t="str">
        <f>IF(Analysis!A162="","",Analysis!BK162)</f>
        <v>No specific plan</v>
      </c>
    </row>
    <row r="251" spans="1:9" ht="14.25" customHeight="1" x14ac:dyDescent="0.25">
      <c r="A251" s="32">
        <f>IF(Analysis!A163="","",Analysis!A163)</f>
        <v>160</v>
      </c>
      <c r="B251" s="33" t="str">
        <f>IF(Analysis!A163="","",Analysis!B163)</f>
        <v>Bad Bint Saud</v>
      </c>
      <c r="C251" s="33" t="str">
        <f>IF(Analysis!A163="","",Analysis!C163)</f>
        <v>Qarn Bint Saud, Bad' Bint Sa'oud</v>
      </c>
      <c r="D251" s="33" t="str">
        <f>IF(Analysis!A163="","",Analysis!F163)</f>
        <v>High</v>
      </c>
      <c r="E251" s="33" t="b">
        <f>IF(Analysis!A163="","",Analysis!BG163)</f>
        <v>1</v>
      </c>
      <c r="F251" s="33" t="str">
        <f>IF(Analysis!A163="","",Analysis!AN163)</f>
        <v>Pond/Side slope protection</v>
      </c>
      <c r="G251" s="33" t="str">
        <f>IF(Analysis!A163="","",Analysis!BA163)</f>
        <v>Design phase</v>
      </c>
      <c r="H251" s="34">
        <f>IF(Analysis!A163="","",Analysis!BJ163)</f>
        <v>46722</v>
      </c>
      <c r="I251" s="33" t="str">
        <f>IF(Analysis!A163="","",Analysis!BK163)</f>
        <v>No specific plan</v>
      </c>
    </row>
    <row r="252" spans="1:9" ht="14.25" customHeight="1" x14ac:dyDescent="0.25">
      <c r="A252" s="32">
        <f>IF(Analysis!A164="","",Analysis!A164)</f>
        <v>161</v>
      </c>
      <c r="B252" s="33" t="str">
        <f>IF(Analysis!A164="","",Analysis!B164)</f>
        <v>Bad Bint Saud</v>
      </c>
      <c r="C252" s="33" t="str">
        <f>IF(Analysis!A164="","",Analysis!C164)</f>
        <v>Qarn Bint Saud, Bad' Bint Sa'oud</v>
      </c>
      <c r="D252" s="33" t="str">
        <f>IF(Analysis!A164="","",Analysis!F164)</f>
        <v>High</v>
      </c>
      <c r="E252" s="33" t="b">
        <f>IF(Analysis!A164="","",Analysis!BG164)</f>
        <v>1</v>
      </c>
      <c r="F252" s="33" t="str">
        <f>IF(Analysis!A164="","",Analysis!AN164)</f>
        <v>Pond/Side slope protection</v>
      </c>
      <c r="G252" s="33" t="str">
        <f>IF(Analysis!A164="","",Analysis!BA164)</f>
        <v>Design phase</v>
      </c>
      <c r="H252" s="34">
        <f>IF(Analysis!A164="","",Analysis!BJ164)</f>
        <v>46722</v>
      </c>
      <c r="I252" s="33" t="str">
        <f>IF(Analysis!A164="","",Analysis!BK164)</f>
        <v>No specific plan</v>
      </c>
    </row>
    <row r="253" spans="1:9" ht="14.25" customHeight="1" x14ac:dyDescent="0.25">
      <c r="A253" s="32">
        <f>IF(Analysis!A165="","",Analysis!A165)</f>
        <v>162</v>
      </c>
      <c r="B253" s="33" t="str">
        <f>IF(Analysis!A165="","",Analysis!B165)</f>
        <v>Bad Bint Saud</v>
      </c>
      <c r="C253" s="33" t="str">
        <f>IF(Analysis!A165="","",Analysis!C165)</f>
        <v>E95, Bad' Bint Sa'oud - Qarn Bint Saud. Nahil Rd.</v>
      </c>
      <c r="D253" s="33" t="str">
        <f>IF(Analysis!A165="","",Analysis!F165)</f>
        <v>High</v>
      </c>
      <c r="E253" s="33" t="b">
        <f>IF(Analysis!A165="","",Analysis!BG165)</f>
        <v>1</v>
      </c>
      <c r="F253" s="33" t="str">
        <f>IF(Analysis!A165="","",Analysis!AN165)</f>
        <v>Pond/Side slope protection</v>
      </c>
      <c r="G253" s="33" t="str">
        <f>IF(Analysis!A165="","",Analysis!BA165)</f>
        <v>Design phase</v>
      </c>
      <c r="H253" s="34">
        <f>IF(Analysis!A165="","",Analysis!BJ165)</f>
        <v>46722</v>
      </c>
      <c r="I253" s="33" t="str">
        <f>IF(Analysis!A165="","",Analysis!BK165)</f>
        <v>No specific plan</v>
      </c>
    </row>
    <row r="254" spans="1:9" ht="14.25" customHeight="1" x14ac:dyDescent="0.25">
      <c r="A254" s="32">
        <f>IF(Analysis!A166="","",Analysis!A166)</f>
        <v>163</v>
      </c>
      <c r="B254" s="33" t="str">
        <f>IF(Analysis!A166="","",Analysis!B166)</f>
        <v>Sweihan</v>
      </c>
      <c r="C254" s="33" t="str">
        <f>IF(Analysis!A166="","",Analysis!C166)</f>
        <v>Ramlat Sweihan 3, Ramlat Sweihan</v>
      </c>
      <c r="D254" s="33" t="str">
        <f>IF(Analysis!A166="","",Analysis!F166)</f>
        <v>High</v>
      </c>
      <c r="E254" s="33" t="b">
        <f>IF(Analysis!A166="","",Analysis!BG166)</f>
        <v>1</v>
      </c>
      <c r="F254" s="33" t="str">
        <f>IF(Analysis!A166="","",Analysis!AN166)</f>
        <v>Based on future design</v>
      </c>
      <c r="G254" s="33" t="str">
        <f>IF(Analysis!A166="","",Analysis!BA166)</f>
        <v>future project</v>
      </c>
      <c r="H254" s="34" t="str">
        <f>IF(Analysis!A166="","",Analysis!BJ166)</f>
        <v>CLIENT INPUT REQUIRED</v>
      </c>
      <c r="I254" s="33" t="str">
        <f>IF(Analysis!A166="","",Analysis!BK166)</f>
        <v>No specific plan</v>
      </c>
    </row>
    <row r="255" spans="1:9" ht="14.25" customHeight="1" x14ac:dyDescent="0.25">
      <c r="A255" s="32">
        <f>IF(Analysis!A167="","",Analysis!A167)</f>
        <v>164</v>
      </c>
      <c r="B255" s="33" t="str">
        <f>IF(Analysis!A167="","",Analysis!B167)</f>
        <v>Sweihan</v>
      </c>
      <c r="C255" s="33" t="str">
        <f>IF(Analysis!A167="","",Analysis!C167)</f>
        <v>Sayh Madhran, Al 'Ajban</v>
      </c>
      <c r="D255" s="33" t="str">
        <f>IF(Analysis!A167="","",Analysis!F167)</f>
        <v>High</v>
      </c>
      <c r="E255" s="33" t="b">
        <f>IF(Analysis!A167="","",Analysis!BG167)</f>
        <v>1</v>
      </c>
      <c r="F255" s="33" t="str">
        <f>IF(Analysis!A167="","",Analysis!AN167)</f>
        <v>Based on future design</v>
      </c>
      <c r="G255" s="33" t="str">
        <f>IF(Analysis!A167="","",Analysis!BA167)</f>
        <v>future project</v>
      </c>
      <c r="H255" s="34" t="str">
        <f>IF(Analysis!A167="","",Analysis!BJ167)</f>
        <v>CLIENT INPUT REQUIRED</v>
      </c>
      <c r="I255" s="33" t="str">
        <f>IF(Analysis!A167="","",Analysis!BK167)</f>
        <v>No specific plan</v>
      </c>
    </row>
    <row r="256" spans="1:9" ht="14.25" customHeight="1" x14ac:dyDescent="0.25">
      <c r="A256" s="32">
        <f>IF(Analysis!A168="","",Analysis!A168)</f>
        <v>165</v>
      </c>
      <c r="B256" s="33" t="str">
        <f>IF(Analysis!A168="","",Analysis!B168)</f>
        <v>Sweihan</v>
      </c>
      <c r="C256" s="33" t="str">
        <f>IF(Analysis!A168="","",Analysis!C168)</f>
        <v>Al Taf Rd. Sweihan - Abu Dhabi Rd, Niqa Al Dheeb - Raigha</v>
      </c>
      <c r="D256" s="33" t="str">
        <f>IF(Analysis!A168="","",Analysis!F168)</f>
        <v>High</v>
      </c>
      <c r="E256" s="33" t="b">
        <f>IF(Analysis!A168="","",Analysis!BG168)</f>
        <v>1</v>
      </c>
      <c r="F256" s="33" t="str">
        <f>IF(Analysis!A168="","",Analysis!AN168)</f>
        <v>Based on future design</v>
      </c>
      <c r="G256" s="33" t="str">
        <f>IF(Analysis!A168="","",Analysis!BA168)</f>
        <v>future project</v>
      </c>
      <c r="H256" s="34" t="str">
        <f>IF(Analysis!A168="","",Analysis!BJ168)</f>
        <v>CLIENT INPUT REQUIRED</v>
      </c>
      <c r="I256" s="33" t="str">
        <f>IF(Analysis!A168="","",Analysis!BK168)</f>
        <v>No specific plan</v>
      </c>
    </row>
    <row r="257" spans="1:9" ht="14.25" customHeight="1" x14ac:dyDescent="0.25">
      <c r="A257" s="32">
        <f>IF(Analysis!A169="","",Analysis!A169)</f>
        <v>166</v>
      </c>
      <c r="B257" s="33" t="str">
        <f>IF(Analysis!A169="","",Analysis!B169)</f>
        <v>Sweihan</v>
      </c>
      <c r="C257" s="33" t="str">
        <f>IF(Analysis!A169="","",Analysis!C169)</f>
        <v>Al Taf Rd. Sweihan - Abu Dhabi Rd, Sweihan - Bida Al Samah</v>
      </c>
      <c r="D257" s="33" t="str">
        <f>IF(Analysis!A169="","",Analysis!F169)</f>
        <v>High</v>
      </c>
      <c r="E257" s="33" t="b">
        <f>IF(Analysis!A169="","",Analysis!BG169)</f>
        <v>1</v>
      </c>
      <c r="F257" s="33" t="str">
        <f>IF(Analysis!A169="","",Analysis!AN169)</f>
        <v>Pond/Side slope protection</v>
      </c>
      <c r="G257" s="33" t="str">
        <f>IF(Analysis!A169="","",Analysis!BA169)</f>
        <v>Design phase</v>
      </c>
      <c r="H257" s="34">
        <f>IF(Analysis!A169="","",Analysis!BJ169)</f>
        <v>46722</v>
      </c>
      <c r="I257" s="33" t="str">
        <f>IF(Analysis!A169="","",Analysis!BK169)</f>
        <v>No specific plan</v>
      </c>
    </row>
    <row r="258" spans="1:9" ht="14.25" customHeight="1" x14ac:dyDescent="0.25">
      <c r="A258" s="32">
        <f>IF(Analysis!A170="","",Analysis!A170)</f>
        <v>167</v>
      </c>
      <c r="B258" s="33" t="str">
        <f>IF(Analysis!A170="","",Analysis!B170)</f>
        <v>Sweihan</v>
      </c>
      <c r="C258" s="33" t="str">
        <f>IF(Analysis!A170="","",Analysis!C170)</f>
        <v>E20, Ramlat Sweihan - Ramlat Sweihan 3</v>
      </c>
      <c r="D258" s="33" t="str">
        <f>IF(Analysis!A170="","",Analysis!F170)</f>
        <v>High</v>
      </c>
      <c r="E258" s="33" t="b">
        <f>IF(Analysis!A170="","",Analysis!BG170)</f>
        <v>1</v>
      </c>
      <c r="F258" s="33" t="str">
        <f>IF(Analysis!A170="","",Analysis!AN170)</f>
        <v>Based on future design</v>
      </c>
      <c r="G258" s="33" t="str">
        <f>IF(Analysis!A170="","",Analysis!BA170)</f>
        <v>future project</v>
      </c>
      <c r="H258" s="34" t="str">
        <f>IF(Analysis!A170="","",Analysis!BJ170)</f>
        <v>CLIENT INPUT REQUIRED</v>
      </c>
      <c r="I258" s="33" t="str">
        <f>IF(Analysis!A170="","",Analysis!BK170)</f>
        <v>No specific plan</v>
      </c>
    </row>
    <row r="259" spans="1:9" ht="14.25" customHeight="1" x14ac:dyDescent="0.25">
      <c r="A259" s="32">
        <f>IF(Analysis!A171="","",Analysis!A171)</f>
        <v>168</v>
      </c>
      <c r="B259" s="33" t="str">
        <f>IF(Analysis!A171="","",Analysis!B171)</f>
        <v>Sweihan</v>
      </c>
      <c r="C259" s="33" t="str">
        <f>IF(Analysis!A171="","",Analysis!C171)</f>
        <v>Al Taf Rd. Raigha, Niqa Al Dheeb</v>
      </c>
      <c r="D259" s="33" t="str">
        <f>IF(Analysis!A171="","",Analysis!F171)</f>
        <v>High</v>
      </c>
      <c r="E259" s="33" t="b">
        <f>IF(Analysis!A171="","",Analysis!BG171)</f>
        <v>1</v>
      </c>
      <c r="F259" s="33" t="str">
        <f>IF(Analysis!A171="","",Analysis!AN171)</f>
        <v>Based on future design</v>
      </c>
      <c r="G259" s="33" t="str">
        <f>IF(Analysis!A171="","",Analysis!BA171)</f>
        <v>future project</v>
      </c>
      <c r="H259" s="34" t="str">
        <f>IF(Analysis!A171="","",Analysis!BJ171)</f>
        <v>CLIENT INPUT REQUIRED</v>
      </c>
      <c r="I259" s="33" t="str">
        <f>IF(Analysis!A171="","",Analysis!BK171)</f>
        <v>No specific plan</v>
      </c>
    </row>
    <row r="260" spans="1:9" ht="14.25" customHeight="1" x14ac:dyDescent="0.25">
      <c r="A260" s="32">
        <f>IF(Analysis!A172="","",Analysis!A172)</f>
        <v>169</v>
      </c>
      <c r="B260" s="33" t="str">
        <f>IF(Analysis!A172="","",Analysis!B172)</f>
        <v>Sweihan</v>
      </c>
      <c r="C260" s="33" t="str">
        <f>IF(Analysis!A172="","",Analysis!C172)</f>
        <v>Al Taf Rd. Sayh Al Tuwaissah, Al Sad</v>
      </c>
      <c r="D260" s="33" t="str">
        <f>IF(Analysis!A172="","",Analysis!F172)</f>
        <v>High</v>
      </c>
      <c r="E260" s="33" t="b">
        <f>IF(Analysis!A172="","",Analysis!BG172)</f>
        <v>1</v>
      </c>
      <c r="F260" s="33" t="str">
        <f>IF(Analysis!A172="","",Analysis!AN172)</f>
        <v>Pond/Side slope protection</v>
      </c>
      <c r="G260" s="33" t="str">
        <f>IF(Analysis!A172="","",Analysis!BA172)</f>
        <v>Design phase</v>
      </c>
      <c r="H260" s="34">
        <f>IF(Analysis!A172="","",Analysis!BJ172)</f>
        <v>46722</v>
      </c>
      <c r="I260" s="33" t="str">
        <f>IF(Analysis!A172="","",Analysis!BK172)</f>
        <v>No specific plan</v>
      </c>
    </row>
    <row r="261" spans="1:9" ht="14.25" customHeight="1" x14ac:dyDescent="0.25">
      <c r="A261" s="32">
        <f>IF(Analysis!A173="","",Analysis!A173)</f>
        <v>170</v>
      </c>
      <c r="B261" s="33" t="str">
        <f>IF(Analysis!A173="","",Analysis!B173)</f>
        <v>Sweihan</v>
      </c>
      <c r="C261" s="33" t="str">
        <f>IF(Analysis!A173="","",Analysis!C173)</f>
        <v>Al Taf Rd. Sweihan - Bida Al Samah</v>
      </c>
      <c r="D261" s="33" t="str">
        <f>IF(Analysis!A173="","",Analysis!F173)</f>
        <v>High</v>
      </c>
      <c r="E261" s="33" t="b">
        <f>IF(Analysis!A173="","",Analysis!BG173)</f>
        <v>1</v>
      </c>
      <c r="F261" s="33" t="str">
        <f>IF(Analysis!A173="","",Analysis!AN173)</f>
        <v>Based on future design</v>
      </c>
      <c r="G261" s="33" t="str">
        <f>IF(Analysis!A173="","",Analysis!BA173)</f>
        <v>future project</v>
      </c>
      <c r="H261" s="34" t="str">
        <f>IF(Analysis!A173="","",Analysis!BJ173)</f>
        <v>CLIENT INPUT REQUIRED</v>
      </c>
      <c r="I261" s="33" t="str">
        <f>IF(Analysis!A173="","",Analysis!BK173)</f>
        <v>No specific plan</v>
      </c>
    </row>
    <row r="262" spans="1:9" ht="14.25" customHeight="1" x14ac:dyDescent="0.25">
      <c r="A262" s="32">
        <f>IF(Analysis!A174="","",Analysis!A174)</f>
        <v>171</v>
      </c>
      <c r="B262" s="33" t="str">
        <f>IF(Analysis!A174="","",Analysis!B174)</f>
        <v>Sweihan</v>
      </c>
      <c r="C262" s="33" t="str">
        <f>IF(Analysis!A174="","",Analysis!C174)</f>
        <v>E20, Niqa Al Dheeb - Niqa Al Dheeb 2 - Sweihan Rd.</v>
      </c>
      <c r="D262" s="33" t="str">
        <f>IF(Analysis!A174="","",Analysis!F174)</f>
        <v>High</v>
      </c>
      <c r="E262" s="33" t="b">
        <f>IF(Analysis!A174="","",Analysis!BG174)</f>
        <v>1</v>
      </c>
      <c r="F262" s="33" t="str">
        <f>IF(Analysis!A174="","",Analysis!AN174)</f>
        <v>Based on future design</v>
      </c>
      <c r="G262" s="33" t="str">
        <f>IF(Analysis!A174="","",Analysis!BA174)</f>
        <v>future project</v>
      </c>
      <c r="H262" s="34" t="str">
        <f>IF(Analysis!A174="","",Analysis!BJ174)</f>
        <v>CLIENT INPUT REQUIRED</v>
      </c>
      <c r="I262" s="33" t="str">
        <f>IF(Analysis!A174="","",Analysis!BK174)</f>
        <v>No specific plan</v>
      </c>
    </row>
    <row r="263" spans="1:9" ht="14.25" customHeight="1" x14ac:dyDescent="0.25">
      <c r="A263" s="32">
        <f>IF(Analysis!A175="","",Analysis!A175)</f>
        <v>172</v>
      </c>
      <c r="B263" s="33" t="str">
        <f>IF(Analysis!A175="","",Analysis!B175)</f>
        <v>Sweihan</v>
      </c>
      <c r="C263" s="33" t="str">
        <f>IF(Analysis!A175="","",Analysis!C175)</f>
        <v>Ramlat Sweihan 3, Ramlat Sweihan</v>
      </c>
      <c r="D263" s="33" t="str">
        <f>IF(Analysis!A175="","",Analysis!F175)</f>
        <v>High</v>
      </c>
      <c r="E263" s="33" t="b">
        <f>IF(Analysis!A175="","",Analysis!BG175)</f>
        <v>1</v>
      </c>
      <c r="F263" s="33" t="str">
        <f>IF(Analysis!A175="","",Analysis!AN175)</f>
        <v>Based on future design</v>
      </c>
      <c r="G263" s="33" t="str">
        <f>IF(Analysis!A175="","",Analysis!BA175)</f>
        <v>future project</v>
      </c>
      <c r="H263" s="34" t="str">
        <f>IF(Analysis!A175="","",Analysis!BJ175)</f>
        <v>CLIENT INPUT REQUIRED</v>
      </c>
      <c r="I263" s="33" t="str">
        <f>IF(Analysis!A175="","",Analysis!BK175)</f>
        <v>No specific plan</v>
      </c>
    </row>
    <row r="264" spans="1:9" ht="14.25" customHeight="1" x14ac:dyDescent="0.25">
      <c r="A264" s="32">
        <f>IF(Analysis!A176="","",Analysis!A176)</f>
        <v>173</v>
      </c>
      <c r="B264" s="33" t="str">
        <f>IF(Analysis!A176="","",Analysis!B176)</f>
        <v>Sweihan</v>
      </c>
      <c r="C264" s="33" t="str">
        <f>IF(Analysis!A176="","",Analysis!C176)</f>
        <v>E20, Sweihan - Ghaffat Rakadh</v>
      </c>
      <c r="D264" s="33" t="str">
        <f>IF(Analysis!A176="","",Analysis!F176)</f>
        <v>High</v>
      </c>
      <c r="E264" s="33" t="b">
        <f>IF(Analysis!A176="","",Analysis!BG176)</f>
        <v>1</v>
      </c>
      <c r="F264" s="33" t="str">
        <f>IF(Analysis!A176="","",Analysis!AN176)</f>
        <v>Based on future design</v>
      </c>
      <c r="G264" s="33" t="str">
        <f>IF(Analysis!A176="","",Analysis!BA176)</f>
        <v>future project</v>
      </c>
      <c r="H264" s="34" t="str">
        <f>IF(Analysis!A176="","",Analysis!BJ176)</f>
        <v>CLIENT INPUT REQUIRED</v>
      </c>
      <c r="I264" s="33" t="str">
        <f>IF(Analysis!A176="","",Analysis!BK176)</f>
        <v>No specific plan</v>
      </c>
    </row>
    <row r="265" spans="1:9" ht="14.25" customHeight="1" x14ac:dyDescent="0.25">
      <c r="A265" s="32">
        <f>IF(Analysis!A177="","",Analysis!A177)</f>
        <v>174</v>
      </c>
      <c r="B265" s="33" t="str">
        <f>IF(Analysis!A177="","",Analysis!B177)</f>
        <v>Sweihan</v>
      </c>
      <c r="C265" s="33" t="str">
        <f>IF(Analysis!A177="","",Analysis!C177)</f>
        <v>Bida Al Mghanni, Nahil Sweihan Rd.</v>
      </c>
      <c r="D265" s="33" t="str">
        <f>IF(Analysis!A177="","",Analysis!F177)</f>
        <v>High</v>
      </c>
      <c r="E265" s="33" t="b">
        <f>IF(Analysis!A177="","",Analysis!BG177)</f>
        <v>1</v>
      </c>
      <c r="F265" s="33" t="str">
        <f>IF(Analysis!A177="","",Analysis!AN177)</f>
        <v>Based on future design</v>
      </c>
      <c r="G265" s="33" t="str">
        <f>IF(Analysis!A177="","",Analysis!BA177)</f>
        <v>future project</v>
      </c>
      <c r="H265" s="34" t="str">
        <f>IF(Analysis!A177="","",Analysis!BJ177)</f>
        <v>CLIENT INPUT REQUIRED</v>
      </c>
      <c r="I265" s="33" t="str">
        <f>IF(Analysis!A177="","",Analysis!BK177)</f>
        <v>No specific plan</v>
      </c>
    </row>
    <row r="266" spans="1:9" ht="14.25" customHeight="1" x14ac:dyDescent="0.25">
      <c r="A266" s="32">
        <f>IF(Analysis!A178="","",Analysis!A178)</f>
        <v>175</v>
      </c>
      <c r="B266" s="33" t="str">
        <f>IF(Analysis!A178="","",Analysis!B178)</f>
        <v>Sweihan</v>
      </c>
      <c r="C266" s="33" t="str">
        <f>IF(Analysis!A178="","",Analysis!C178)</f>
        <v>44th St, Sweihan - Shabiat Suweihan</v>
      </c>
      <c r="D266" s="33" t="str">
        <f>IF(Analysis!A178="","",Analysis!F178)</f>
        <v>High</v>
      </c>
      <c r="E266" s="33" t="b">
        <f>IF(Analysis!A178="","",Analysis!BG178)</f>
        <v>1</v>
      </c>
      <c r="F266" s="33" t="str">
        <f>IF(Analysis!A178="","",Analysis!AN178)</f>
        <v>Based on future design</v>
      </c>
      <c r="G266" s="33" t="str">
        <f>IF(Analysis!A178="","",Analysis!BA178)</f>
        <v>future project</v>
      </c>
      <c r="H266" s="34" t="str">
        <f>IF(Analysis!A178="","",Analysis!BJ178)</f>
        <v>CLIENT INPUT REQUIRED</v>
      </c>
      <c r="I266" s="33" t="str">
        <f>IF(Analysis!A178="","",Analysis!BK178)</f>
        <v>No specific plan</v>
      </c>
    </row>
    <row r="267" spans="1:9" ht="14.25" customHeight="1" x14ac:dyDescent="0.25">
      <c r="A267" s="32">
        <f>IF(Analysis!A179="","",Analysis!A179)</f>
        <v>176</v>
      </c>
      <c r="B267" s="33" t="str">
        <f>IF(Analysis!A179="","",Analysis!B179)</f>
        <v>Sweihan</v>
      </c>
      <c r="C267" s="33" t="str">
        <f>IF(Analysis!A179="","",Analysis!C179)</f>
        <v>Shabiat Suweihan, Sweihan Area</v>
      </c>
      <c r="D267" s="33" t="str">
        <f>IF(Analysis!A179="","",Analysis!F179)</f>
        <v>High</v>
      </c>
      <c r="E267" s="33" t="b">
        <f>IF(Analysis!A179="","",Analysis!BG179)</f>
        <v>1</v>
      </c>
      <c r="F267" s="33" t="str">
        <f>IF(Analysis!A179="","",Analysis!AN179)</f>
        <v>Based on future design</v>
      </c>
      <c r="G267" s="33" t="str">
        <f>IF(Analysis!A179="","",Analysis!BA179)</f>
        <v>future project</v>
      </c>
      <c r="H267" s="34" t="str">
        <f>IF(Analysis!A179="","",Analysis!BJ179)</f>
        <v>CLIENT INPUT REQUIRED</v>
      </c>
      <c r="I267" s="33" t="str">
        <f>IF(Analysis!A179="","",Analysis!BK179)</f>
        <v>No specific plan</v>
      </c>
    </row>
    <row r="268" spans="1:9" ht="14.25" customHeight="1" x14ac:dyDescent="0.25">
      <c r="A268" s="32">
        <f>IF(Analysis!A180="","",Analysis!A180)</f>
        <v>177</v>
      </c>
      <c r="B268" s="33" t="str">
        <f>IF(Analysis!A180="","",Analysis!B180)</f>
        <v>Zakhir &amp; Neima &amp; Shi'bat Al Wutah</v>
      </c>
      <c r="C268" s="33" t="str">
        <f>IF(Analysis!A180="","",Analysis!C180)</f>
        <v>Al Shamali St, Zakhir - Zakhir South</v>
      </c>
      <c r="D268" s="33" t="str">
        <f>IF(Analysis!A180="","",Analysis!F180)</f>
        <v>High</v>
      </c>
      <c r="E268" s="33" t="b">
        <f>IF(Analysis!A180="","",Analysis!BG180)</f>
        <v>1</v>
      </c>
      <c r="F268" s="33" t="str">
        <f>IF(Analysis!A180="","",Analysis!AN180)</f>
        <v>Based on future design</v>
      </c>
      <c r="G268" s="33" t="str">
        <f>IF(Analysis!A180="","",Analysis!BA180)</f>
        <v>future project</v>
      </c>
      <c r="H268" s="34" t="str">
        <f>IF(Analysis!A180="","",Analysis!BJ180)</f>
        <v>CLIENT INPUT REQUIRED</v>
      </c>
      <c r="I268" s="33" t="str">
        <f>IF(Analysis!A180="","",Analysis!BK180)</f>
        <v>No specific plan</v>
      </c>
    </row>
    <row r="269" spans="1:9" ht="14.25" customHeight="1" x14ac:dyDescent="0.25">
      <c r="A269" s="32">
        <f>IF(Analysis!A181="","",Analysis!A181)</f>
        <v>178</v>
      </c>
      <c r="B269" s="33" t="str">
        <f>IF(Analysis!A181="","",Analysis!B181)</f>
        <v>Zakhir &amp; Neima &amp; Shi'bat Al Wutah</v>
      </c>
      <c r="C269" s="33" t="str">
        <f>IF(Analysis!A181="","",Analysis!C181)</f>
        <v>Gafat Al Nayyar, Zakhir</v>
      </c>
      <c r="D269" s="33" t="str">
        <f>IF(Analysis!A181="","",Analysis!F181)</f>
        <v>High</v>
      </c>
      <c r="E269" s="33" t="b">
        <f>IF(Analysis!A181="","",Analysis!BG181)</f>
        <v>1</v>
      </c>
      <c r="F269" s="33" t="str">
        <f>IF(Analysis!A181="","",Analysis!AN181)</f>
        <v>Based on future design</v>
      </c>
      <c r="G269" s="33" t="str">
        <f>IF(Analysis!A181="","",Analysis!BA181)</f>
        <v>future project</v>
      </c>
      <c r="H269" s="34" t="str">
        <f>IF(Analysis!A181="","",Analysis!BJ181)</f>
        <v>CLIENT INPUT REQUIRED</v>
      </c>
      <c r="I269" s="33" t="str">
        <f>IF(Analysis!A181="","",Analysis!BK181)</f>
        <v>No specific plan</v>
      </c>
    </row>
    <row r="270" spans="1:9" ht="14.25" customHeight="1" x14ac:dyDescent="0.25">
      <c r="A270" s="32">
        <f>IF(Analysis!A182="","",Analysis!A182)</f>
        <v>179</v>
      </c>
      <c r="B270" s="33" t="str">
        <f>IF(Analysis!A182="","",Analysis!B182)</f>
        <v>Zakhir &amp; Neima &amp; Shi'bat Al Wutah</v>
      </c>
      <c r="C270" s="33" t="str">
        <f>IF(Analysis!A182="","",Analysis!C182)</f>
        <v>Zakher Wedding Hall</v>
      </c>
      <c r="D270" s="33" t="str">
        <f>IF(Analysis!A182="","",Analysis!F182)</f>
        <v>High</v>
      </c>
      <c r="E270" s="33" t="b">
        <f>IF(Analysis!A182="","",Analysis!BG182)</f>
        <v>1</v>
      </c>
      <c r="F270" s="33" t="str">
        <f>IF(Analysis!A182="","",Analysis!AN182)</f>
        <v>Based on future design</v>
      </c>
      <c r="G270" s="33" t="str">
        <f>IF(Analysis!A182="","",Analysis!BA182)</f>
        <v>future project</v>
      </c>
      <c r="H270" s="34" t="str">
        <f>IF(Analysis!A182="","",Analysis!BJ182)</f>
        <v>CLIENT INPUT REQUIRED</v>
      </c>
      <c r="I270" s="33" t="str">
        <f>IF(Analysis!A182="","",Analysis!BK182)</f>
        <v>No specific plan</v>
      </c>
    </row>
    <row r="271" spans="1:9" ht="14.25" customHeight="1" x14ac:dyDescent="0.25">
      <c r="A271" s="32">
        <f>IF(Analysis!A183="","",Analysis!A183)</f>
        <v>180</v>
      </c>
      <c r="B271" s="33" t="str">
        <f>IF(Analysis!A183="","",Analysis!B183)</f>
        <v>Zakhir &amp; Neima &amp; Shi'bat Al Wutah</v>
      </c>
      <c r="C271" s="33" t="str">
        <f>IF(Analysis!A183="","",Analysis!C183)</f>
        <v>Ramlat Zakher, Zakhir</v>
      </c>
      <c r="D271" s="33" t="str">
        <f>IF(Analysis!A183="","",Analysis!F183)</f>
        <v>High</v>
      </c>
      <c r="E271" s="33" t="b">
        <f>IF(Analysis!A183="","",Analysis!BG183)</f>
        <v>1</v>
      </c>
      <c r="F271" s="33" t="str">
        <f>IF(Analysis!A183="","",Analysis!AN183)</f>
        <v>Based on future design</v>
      </c>
      <c r="G271" s="33" t="str">
        <f>IF(Analysis!A183="","",Analysis!BA183)</f>
        <v>future project</v>
      </c>
      <c r="H271" s="34" t="str">
        <f>IF(Analysis!A183="","",Analysis!BJ183)</f>
        <v>CLIENT INPUT REQUIRED</v>
      </c>
      <c r="I271" s="33" t="str">
        <f>IF(Analysis!A183="","",Analysis!BK183)</f>
        <v>No specific plan</v>
      </c>
    </row>
    <row r="272" spans="1:9" ht="14.25" customHeight="1" x14ac:dyDescent="0.25">
      <c r="A272" s="32">
        <f>IF(Analysis!A184="","",Analysis!A184)</f>
        <v>181</v>
      </c>
      <c r="B272" s="33" t="str">
        <f>IF(Analysis!A184="","",Analysis!B184)</f>
        <v>Zakhir &amp; Neima &amp; Shi'bat Al Wutah</v>
      </c>
      <c r="C272" s="33" t="str">
        <f>IF(Analysis!A184="","",Analysis!C184)</f>
        <v>Neima 1, Ni'mah</v>
      </c>
      <c r="D272" s="33" t="str">
        <f>IF(Analysis!A184="","",Analysis!F184)</f>
        <v>High</v>
      </c>
      <c r="E272" s="33" t="b">
        <f>IF(Analysis!A184="","",Analysis!BG184)</f>
        <v>1</v>
      </c>
      <c r="F272" s="33" t="str">
        <f>IF(Analysis!A184="","",Analysis!AN184)</f>
        <v>Upgrade Network</v>
      </c>
      <c r="G272" s="33" t="str">
        <f>IF(Analysis!A184="","",Analysis!BA184)</f>
        <v>Design phase</v>
      </c>
      <c r="H272" s="34">
        <f>IF(Analysis!A184="","",Analysis!BJ184)</f>
        <v>47088</v>
      </c>
      <c r="I272" s="33" t="str">
        <f>IF(Analysis!A184="","",Analysis!BK184)</f>
        <v>No specific plan</v>
      </c>
    </row>
    <row r="273" spans="1:9" ht="14.25" customHeight="1" x14ac:dyDescent="0.25">
      <c r="A273" s="32">
        <f>IF(Analysis!A185="","",Analysis!A185)</f>
        <v>182</v>
      </c>
      <c r="B273" s="33" t="str">
        <f>IF(Analysis!A185="","",Analysis!B185)</f>
        <v>Zakhir &amp; Neima &amp; Shi'bat Al Wutah</v>
      </c>
      <c r="C273" s="33" t="str">
        <f>IF(Analysis!A185="","",Analysis!C185)</f>
        <v>Neima 1, Ni'mah</v>
      </c>
      <c r="D273" s="33" t="str">
        <f>IF(Analysis!A185="","",Analysis!F185)</f>
        <v>High</v>
      </c>
      <c r="E273" s="33" t="b">
        <f>IF(Analysis!A185="","",Analysis!BG185)</f>
        <v>1</v>
      </c>
      <c r="F273" s="33" t="str">
        <f>IF(Analysis!A185="","",Analysis!AN185)</f>
        <v>Based on future design</v>
      </c>
      <c r="G273" s="33" t="str">
        <f>IF(Analysis!A185="","",Analysis!BA185)</f>
        <v>future project</v>
      </c>
      <c r="H273" s="34" t="str">
        <f>IF(Analysis!A185="","",Analysis!BJ185)</f>
        <v>CLIENT INPUT REQUIRED</v>
      </c>
      <c r="I273" s="33" t="str">
        <f>IF(Analysis!A185="","",Analysis!BK185)</f>
        <v>No specific plan</v>
      </c>
    </row>
    <row r="274" spans="1:9" ht="14.25" customHeight="1" x14ac:dyDescent="0.25">
      <c r="A274" s="32">
        <f>IF(Analysis!A186="","",Analysis!A186)</f>
        <v>183</v>
      </c>
      <c r="B274" s="33" t="str">
        <f>IF(Analysis!A186="","",Analysis!B186)</f>
        <v>Zakhir &amp; Neima &amp; Shi'bat Al Wutah</v>
      </c>
      <c r="C274" s="33" t="str">
        <f>IF(Analysis!A186="","",Analysis!C186)</f>
        <v>Neima 1, Ni'mah</v>
      </c>
      <c r="D274" s="33" t="str">
        <f>IF(Analysis!A186="","",Analysis!F186)</f>
        <v>High</v>
      </c>
      <c r="E274" s="33" t="b">
        <f>IF(Analysis!A186="","",Analysis!BG186)</f>
        <v>1</v>
      </c>
      <c r="F274" s="33" t="str">
        <f>IF(Analysis!A186="","",Analysis!AN186)</f>
        <v>Based on future design</v>
      </c>
      <c r="G274" s="33" t="str">
        <f>IF(Analysis!A186="","",Analysis!BA186)</f>
        <v>future project</v>
      </c>
      <c r="H274" s="34" t="str">
        <f>IF(Analysis!A186="","",Analysis!BJ186)</f>
        <v>CLIENT INPUT REQUIRED</v>
      </c>
      <c r="I274" s="33" t="str">
        <f>IF(Analysis!A186="","",Analysis!BK186)</f>
        <v>No specific plan</v>
      </c>
    </row>
    <row r="275" spans="1:9" ht="21.75" customHeight="1" x14ac:dyDescent="0.25">
      <c r="A275" s="32">
        <f>IF(Analysis!A187="","",Analysis!A187)</f>
        <v>184</v>
      </c>
      <c r="B275" s="33" t="str">
        <f>IF(Analysis!A187="","",Analysis!B187)</f>
        <v>Zakhir &amp; Neima &amp; Shi'bat Al Wutah</v>
      </c>
      <c r="C275" s="35" t="str">
        <f>IF(Analysis!A187="","",Analysis!C187)</f>
        <v xml:space="preserve">
6 Al Hawayir St    Shi'bat Al Wutah - Shiebat Al Watah 1 </v>
      </c>
      <c r="D275" s="33" t="str">
        <f>IF(Analysis!A187="","",Analysis!F187)</f>
        <v>High</v>
      </c>
      <c r="E275" s="33" t="b">
        <f>IF(Analysis!A187="","",Analysis!BG187)</f>
        <v>1</v>
      </c>
      <c r="F275" s="33" t="str">
        <f>IF(Analysis!A187="","",Analysis!AN187)</f>
        <v>Based on future design</v>
      </c>
      <c r="G275" s="33" t="str">
        <f>IF(Analysis!A187="","",Analysis!BA187)</f>
        <v>future project</v>
      </c>
      <c r="H275" s="34" t="str">
        <f>IF(Analysis!A187="","",Analysis!BJ187)</f>
        <v>CLIENT INPUT REQUIRED</v>
      </c>
      <c r="I275" s="33" t="str">
        <f>IF(Analysis!A187="","",Analysis!BK187)</f>
        <v>No specific plan</v>
      </c>
    </row>
    <row r="276" spans="1:9" ht="14.25" customHeight="1" x14ac:dyDescent="0.25">
      <c r="A276" s="32" t="str">
        <f>IF(Analysis!A188="","",Analysis!A188)</f>
        <v/>
      </c>
      <c r="B276" s="33" t="str">
        <f>IF(Analysis!A188="","",Analysis!B188)</f>
        <v/>
      </c>
      <c r="C276" s="33" t="str">
        <f>IF(Analysis!A188="","",Analysis!C188)</f>
        <v/>
      </c>
      <c r="D276" s="33" t="str">
        <f>IF(Analysis!A188="","",Analysis!F188)</f>
        <v/>
      </c>
      <c r="E276" s="33" t="str">
        <f>IF(Analysis!A188="","",Analysis!BG188)</f>
        <v/>
      </c>
      <c r="F276" s="33" t="str">
        <f>IF(Analysis!A188="","",Analysis!AN188)</f>
        <v/>
      </c>
      <c r="G276" s="33" t="str">
        <f>IF(Analysis!A188="","",Analysis!BA188)</f>
        <v/>
      </c>
      <c r="H276" s="34" t="str">
        <f>IF(Analysis!A188="","",Analysis!BJ188)</f>
        <v/>
      </c>
      <c r="I276" s="33" t="str">
        <f>IF(Analysis!A188="","",Analysis!BK188)</f>
        <v/>
      </c>
    </row>
    <row r="277" spans="1:9" ht="14.25" customHeight="1" x14ac:dyDescent="0.25">
      <c r="A277" s="32" t="str">
        <f>IF(Analysis!A189="","",Analysis!A189)</f>
        <v/>
      </c>
      <c r="B277" s="33" t="str">
        <f>IF(Analysis!A189="","",Analysis!B189)</f>
        <v/>
      </c>
      <c r="C277" s="33" t="str">
        <f>IF(Analysis!A189="","",Analysis!C189)</f>
        <v/>
      </c>
      <c r="D277" s="33" t="str">
        <f>IF(Analysis!A189="","",Analysis!F189)</f>
        <v/>
      </c>
      <c r="E277" s="33" t="str">
        <f>IF(Analysis!A189="","",Analysis!BG189)</f>
        <v/>
      </c>
      <c r="F277" s="33" t="str">
        <f>IF(Analysis!A189="","",Analysis!AN189)</f>
        <v/>
      </c>
      <c r="G277" s="33" t="str">
        <f>IF(Analysis!A189="","",Analysis!BA189)</f>
        <v/>
      </c>
      <c r="H277" s="34" t="str">
        <f>IF(Analysis!A189="","",Analysis!BJ189)</f>
        <v/>
      </c>
      <c r="I277" s="33" t="str">
        <f>IF(Analysis!A189="","",Analysis!BK189)</f>
        <v/>
      </c>
    </row>
    <row r="278" spans="1:9" ht="14.25" customHeight="1" x14ac:dyDescent="0.25">
      <c r="A278" s="32" t="str">
        <f>IF(Analysis!A190="","",Analysis!A190)</f>
        <v/>
      </c>
      <c r="B278" s="33" t="str">
        <f>IF(Analysis!A190="","",Analysis!B190)</f>
        <v/>
      </c>
      <c r="C278" s="33" t="str">
        <f>IF(Analysis!A190="","",Analysis!C190)</f>
        <v/>
      </c>
      <c r="D278" s="33" t="str">
        <f>IF(Analysis!A190="","",Analysis!F190)</f>
        <v/>
      </c>
      <c r="E278" s="33" t="str">
        <f>IF(Analysis!A190="","",Analysis!BG190)</f>
        <v/>
      </c>
      <c r="F278" s="33" t="str">
        <f>IF(Analysis!A190="","",Analysis!AN190)</f>
        <v/>
      </c>
      <c r="G278" s="33" t="str">
        <f>IF(Analysis!A190="","",Analysis!BA190)</f>
        <v/>
      </c>
      <c r="H278" s="34" t="str">
        <f>IF(Analysis!A190="","",Analysis!BJ190)</f>
        <v/>
      </c>
      <c r="I278" s="33" t="str">
        <f>IF(Analysis!A190="","",Analysis!BK190)</f>
        <v/>
      </c>
    </row>
    <row r="279" spans="1:9" ht="14.25" customHeight="1" x14ac:dyDescent="0.25">
      <c r="A279" s="32" t="str">
        <f>IF(Analysis!A191="","",Analysis!A191)</f>
        <v/>
      </c>
      <c r="B279" s="33" t="str">
        <f>IF(Analysis!A191="","",Analysis!B191)</f>
        <v/>
      </c>
      <c r="C279" s="33" t="str">
        <f>IF(Analysis!A191="","",Analysis!C191)</f>
        <v/>
      </c>
      <c r="D279" s="33" t="str">
        <f>IF(Analysis!A191="","",Analysis!F191)</f>
        <v/>
      </c>
      <c r="E279" s="33" t="str">
        <f>IF(Analysis!A191="","",Analysis!BG191)</f>
        <v/>
      </c>
      <c r="F279" s="33" t="str">
        <f>IF(Analysis!A191="","",Analysis!AN191)</f>
        <v/>
      </c>
      <c r="G279" s="33" t="str">
        <f>IF(Analysis!A191="","",Analysis!BA191)</f>
        <v/>
      </c>
      <c r="H279" s="34" t="str">
        <f>IF(Analysis!A191="","",Analysis!BJ191)</f>
        <v/>
      </c>
      <c r="I279" s="33" t="str">
        <f>IF(Analysis!A191="","",Analysis!BK191)</f>
        <v/>
      </c>
    </row>
    <row r="280" spans="1:9" ht="14.25" customHeight="1" x14ac:dyDescent="0.25">
      <c r="A280" s="32" t="str">
        <f>IF(Analysis!A192="","",Analysis!A192)</f>
        <v/>
      </c>
      <c r="B280" s="33" t="str">
        <f>IF(Analysis!A192="","",Analysis!B192)</f>
        <v/>
      </c>
      <c r="C280" s="33" t="str">
        <f>IF(Analysis!A192="","",Analysis!C192)</f>
        <v/>
      </c>
      <c r="D280" s="33" t="str">
        <f>IF(Analysis!A192="","",Analysis!F192)</f>
        <v/>
      </c>
      <c r="E280" s="33" t="str">
        <f>IF(Analysis!A192="","",Analysis!BG192)</f>
        <v/>
      </c>
      <c r="F280" s="33" t="str">
        <f>IF(Analysis!A192="","",Analysis!AN192)</f>
        <v/>
      </c>
      <c r="G280" s="33" t="str">
        <f>IF(Analysis!A192="","",Analysis!BA192)</f>
        <v/>
      </c>
      <c r="H280" s="34" t="str">
        <f>IF(Analysis!A192="","",Analysis!BJ192)</f>
        <v/>
      </c>
      <c r="I280" s="33" t="str">
        <f>IF(Analysis!A192="","",Analysis!BK192)</f>
        <v/>
      </c>
    </row>
    <row r="281" spans="1:9" ht="14.25" customHeight="1" x14ac:dyDescent="0.25">
      <c r="A281" s="32" t="str">
        <f>IF(Analysis!A193="","",Analysis!A193)</f>
        <v/>
      </c>
      <c r="B281" s="33" t="str">
        <f>IF(Analysis!A193="","",Analysis!B193)</f>
        <v/>
      </c>
      <c r="C281" s="33" t="str">
        <f>IF(Analysis!A193="","",Analysis!C193)</f>
        <v/>
      </c>
      <c r="D281" s="33" t="str">
        <f>IF(Analysis!A193="","",Analysis!F193)</f>
        <v/>
      </c>
      <c r="E281" s="33" t="str">
        <f>IF(Analysis!A193="","",Analysis!BG193)</f>
        <v/>
      </c>
      <c r="F281" s="33" t="str">
        <f>IF(Analysis!A193="","",Analysis!AN193)</f>
        <v/>
      </c>
      <c r="G281" s="33" t="str">
        <f>IF(Analysis!A193="","",Analysis!BA193)</f>
        <v/>
      </c>
      <c r="H281" s="34" t="str">
        <f>IF(Analysis!A193="","",Analysis!BJ193)</f>
        <v/>
      </c>
      <c r="I281" s="33" t="str">
        <f>IF(Analysis!A193="","",Analysis!BK193)</f>
        <v/>
      </c>
    </row>
    <row r="282" spans="1:9" ht="14.25" customHeight="1" x14ac:dyDescent="0.25">
      <c r="A282" s="32" t="str">
        <f>IF(Analysis!A194="","",Analysis!A194)</f>
        <v/>
      </c>
      <c r="B282" s="33" t="str">
        <f>IF(Analysis!A194="","",Analysis!B194)</f>
        <v/>
      </c>
      <c r="C282" s="33" t="str">
        <f>IF(Analysis!A194="","",Analysis!C194)</f>
        <v/>
      </c>
      <c r="D282" s="33" t="str">
        <f>IF(Analysis!A194="","",Analysis!F194)</f>
        <v/>
      </c>
      <c r="E282" s="33" t="str">
        <f>IF(Analysis!A194="","",Analysis!BG194)</f>
        <v/>
      </c>
      <c r="F282" s="33" t="str">
        <f>IF(Analysis!A194="","",Analysis!AN194)</f>
        <v/>
      </c>
      <c r="G282" s="33" t="str">
        <f>IF(Analysis!A194="","",Analysis!BA194)</f>
        <v/>
      </c>
      <c r="H282" s="34" t="str">
        <f>IF(Analysis!A194="","",Analysis!BJ194)</f>
        <v/>
      </c>
      <c r="I282" s="33" t="str">
        <f>IF(Analysis!A194="","",Analysis!BK194)</f>
        <v/>
      </c>
    </row>
    <row r="283" spans="1:9" ht="14.25" customHeight="1" x14ac:dyDescent="0.25">
      <c r="A283" s="32" t="str">
        <f>IF(Analysis!A195="","",Analysis!A195)</f>
        <v/>
      </c>
      <c r="B283" s="33" t="str">
        <f>IF(Analysis!A195="","",Analysis!B195)</f>
        <v/>
      </c>
      <c r="C283" s="33" t="str">
        <f>IF(Analysis!A195="","",Analysis!C195)</f>
        <v/>
      </c>
      <c r="D283" s="33" t="str">
        <f>IF(Analysis!A195="","",Analysis!F195)</f>
        <v/>
      </c>
      <c r="E283" s="33" t="str">
        <f>IF(Analysis!A195="","",Analysis!BG195)</f>
        <v/>
      </c>
      <c r="F283" s="33" t="str">
        <f>IF(Analysis!A195="","",Analysis!AN195)</f>
        <v/>
      </c>
      <c r="G283" s="33" t="str">
        <f>IF(Analysis!A195="","",Analysis!BA195)</f>
        <v/>
      </c>
      <c r="H283" s="34" t="str">
        <f>IF(Analysis!A195="","",Analysis!BJ195)</f>
        <v/>
      </c>
      <c r="I283" s="33" t="str">
        <f>IF(Analysis!A195="","",Analysis!BK195)</f>
        <v/>
      </c>
    </row>
    <row r="284" spans="1:9" ht="14.25" customHeight="1" x14ac:dyDescent="0.25">
      <c r="A284" s="32" t="str">
        <f>IF(Analysis!A196="","",Analysis!A196)</f>
        <v/>
      </c>
      <c r="B284" s="33" t="str">
        <f>IF(Analysis!A196="","",Analysis!B196)</f>
        <v/>
      </c>
      <c r="C284" s="33" t="str">
        <f>IF(Analysis!A196="","",Analysis!C196)</f>
        <v/>
      </c>
      <c r="D284" s="33" t="str">
        <f>IF(Analysis!A196="","",Analysis!F196)</f>
        <v/>
      </c>
      <c r="E284" s="33" t="str">
        <f>IF(Analysis!A196="","",Analysis!BG196)</f>
        <v/>
      </c>
      <c r="F284" s="33" t="str">
        <f>IF(Analysis!A196="","",Analysis!AN196)</f>
        <v/>
      </c>
      <c r="G284" s="33" t="str">
        <f>IF(Analysis!A196="","",Analysis!BA196)</f>
        <v/>
      </c>
      <c r="H284" s="34" t="str">
        <f>IF(Analysis!A196="","",Analysis!BJ196)</f>
        <v/>
      </c>
      <c r="I284" s="33" t="str">
        <f>IF(Analysis!A196="","",Analysis!BK196)</f>
        <v/>
      </c>
    </row>
    <row r="285" spans="1:9" ht="14.25" customHeight="1" x14ac:dyDescent="0.25">
      <c r="A285" s="32" t="str">
        <f>IF(Analysis!A197="","",Analysis!A197)</f>
        <v/>
      </c>
      <c r="B285" s="33" t="str">
        <f>IF(Analysis!A197="","",Analysis!B197)</f>
        <v/>
      </c>
      <c r="C285" s="33" t="str">
        <f>IF(Analysis!A197="","",Analysis!C197)</f>
        <v/>
      </c>
      <c r="D285" s="33" t="str">
        <f>IF(Analysis!A197="","",Analysis!F197)</f>
        <v/>
      </c>
      <c r="E285" s="33" t="str">
        <f>IF(Analysis!A197="","",Analysis!BG197)</f>
        <v/>
      </c>
      <c r="F285" s="33" t="str">
        <f>IF(Analysis!A197="","",Analysis!AN197)</f>
        <v/>
      </c>
      <c r="G285" s="33" t="str">
        <f>IF(Analysis!A197="","",Analysis!BA197)</f>
        <v/>
      </c>
      <c r="H285" s="34" t="str">
        <f>IF(Analysis!A197="","",Analysis!BJ197)</f>
        <v/>
      </c>
      <c r="I285" s="33" t="str">
        <f>IF(Analysis!A197="","",Analysis!BK197)</f>
        <v/>
      </c>
    </row>
    <row r="286" spans="1:9" ht="14.25" customHeight="1" x14ac:dyDescent="0.25">
      <c r="A286" s="32" t="str">
        <f>IF(Analysis!A198="","",Analysis!A198)</f>
        <v/>
      </c>
      <c r="B286" s="33" t="str">
        <f>IF(Analysis!A198="","",Analysis!B198)</f>
        <v/>
      </c>
      <c r="C286" s="33" t="str">
        <f>IF(Analysis!A198="","",Analysis!C198)</f>
        <v/>
      </c>
      <c r="D286" s="33" t="str">
        <f>IF(Analysis!A198="","",Analysis!F198)</f>
        <v/>
      </c>
      <c r="E286" s="33" t="str">
        <f>IF(Analysis!A198="","",Analysis!BG198)</f>
        <v/>
      </c>
      <c r="F286" s="33" t="str">
        <f>IF(Analysis!A198="","",Analysis!AN198)</f>
        <v/>
      </c>
      <c r="G286" s="33" t="str">
        <f>IF(Analysis!A198="","",Analysis!BA198)</f>
        <v/>
      </c>
      <c r="H286" s="34" t="str">
        <f>IF(Analysis!A198="","",Analysis!BJ198)</f>
        <v/>
      </c>
      <c r="I286" s="33" t="str">
        <f>IF(Analysis!A198="","",Analysis!BK198)</f>
        <v/>
      </c>
    </row>
    <row r="287" spans="1:9" ht="14.25" customHeight="1" x14ac:dyDescent="0.25">
      <c r="A287" s="32" t="str">
        <f>IF(Analysis!A199="","",Analysis!A199)</f>
        <v/>
      </c>
      <c r="B287" s="33" t="str">
        <f>IF(Analysis!A199="","",Analysis!B199)</f>
        <v/>
      </c>
      <c r="C287" s="33" t="str">
        <f>IF(Analysis!A199="","",Analysis!C199)</f>
        <v/>
      </c>
      <c r="D287" s="33" t="str">
        <f>IF(Analysis!A199="","",Analysis!F199)</f>
        <v/>
      </c>
      <c r="E287" s="33" t="str">
        <f>IF(Analysis!A199="","",Analysis!BG199)</f>
        <v/>
      </c>
      <c r="F287" s="33" t="str">
        <f>IF(Analysis!A199="","",Analysis!AN199)</f>
        <v/>
      </c>
      <c r="G287" s="33" t="str">
        <f>IF(Analysis!A199="","",Analysis!BA199)</f>
        <v/>
      </c>
      <c r="H287" s="34" t="str">
        <f>IF(Analysis!A199="","",Analysis!BJ199)</f>
        <v/>
      </c>
      <c r="I287" s="33" t="str">
        <f>IF(Analysis!A199="","",Analysis!BK199)</f>
        <v/>
      </c>
    </row>
    <row r="288" spans="1:9" ht="14.25" customHeight="1" x14ac:dyDescent="0.25">
      <c r="A288" s="32" t="str">
        <f>IF(Analysis!A200="","",Analysis!A200)</f>
        <v/>
      </c>
      <c r="B288" s="33" t="str">
        <f>IF(Analysis!A200="","",Analysis!B200)</f>
        <v/>
      </c>
      <c r="C288" s="33" t="str">
        <f>IF(Analysis!A200="","",Analysis!C200)</f>
        <v/>
      </c>
      <c r="D288" s="33" t="str">
        <f>IF(Analysis!A200="","",Analysis!F200)</f>
        <v/>
      </c>
      <c r="E288" s="33" t="str">
        <f>IF(Analysis!A200="","",Analysis!BG200)</f>
        <v/>
      </c>
      <c r="F288" s="33" t="str">
        <f>IF(Analysis!A200="","",Analysis!AN200)</f>
        <v/>
      </c>
      <c r="G288" s="33" t="str">
        <f>IF(Analysis!A200="","",Analysis!BA200)</f>
        <v/>
      </c>
      <c r="H288" s="34" t="str">
        <f>IF(Analysis!A200="","",Analysis!BJ200)</f>
        <v/>
      </c>
      <c r="I288" s="33" t="str">
        <f>IF(Analysis!A200="","",Analysis!BK200)</f>
        <v/>
      </c>
    </row>
    <row r="289" spans="1:9" ht="14.25" customHeight="1" x14ac:dyDescent="0.25">
      <c r="A289" s="32" t="str">
        <f>IF(Analysis!A201="","",Analysis!A201)</f>
        <v/>
      </c>
      <c r="B289" s="33" t="str">
        <f>IF(Analysis!A201="","",Analysis!B201)</f>
        <v/>
      </c>
      <c r="C289" s="33" t="str">
        <f>IF(Analysis!A201="","",Analysis!C201)</f>
        <v/>
      </c>
      <c r="D289" s="33" t="str">
        <f>IF(Analysis!A201="","",Analysis!F201)</f>
        <v/>
      </c>
      <c r="E289" s="33" t="str">
        <f>IF(Analysis!A201="","",Analysis!BG201)</f>
        <v/>
      </c>
      <c r="F289" s="33" t="str">
        <f>IF(Analysis!A201="","",Analysis!AN201)</f>
        <v/>
      </c>
      <c r="G289" s="33" t="str">
        <f>IF(Analysis!A201="","",Analysis!BA201)</f>
        <v/>
      </c>
      <c r="H289" s="34" t="str">
        <f>IF(Analysis!A201="","",Analysis!BJ201)</f>
        <v/>
      </c>
      <c r="I289" s="33" t="str">
        <f>IF(Analysis!A201="","",Analysis!BK201)</f>
        <v/>
      </c>
    </row>
    <row r="290" spans="1:9" ht="14.25" customHeight="1" x14ac:dyDescent="0.25">
      <c r="A290" s="32" t="str">
        <f>IF(Analysis!A202="","",Analysis!A202)</f>
        <v/>
      </c>
      <c r="B290" s="33" t="str">
        <f>IF(Analysis!A202="","",Analysis!B202)</f>
        <v/>
      </c>
      <c r="C290" s="33" t="str">
        <f>IF(Analysis!A202="","",Analysis!C202)</f>
        <v/>
      </c>
      <c r="D290" s="33" t="str">
        <f>IF(Analysis!A202="","",Analysis!F202)</f>
        <v/>
      </c>
      <c r="E290" s="33" t="str">
        <f>IF(Analysis!A202="","",Analysis!BG202)</f>
        <v/>
      </c>
      <c r="F290" s="33" t="str">
        <f>IF(Analysis!A202="","",Analysis!AN202)</f>
        <v/>
      </c>
      <c r="G290" s="33" t="str">
        <f>IF(Analysis!A202="","",Analysis!BA202)</f>
        <v/>
      </c>
      <c r="H290" s="34" t="str">
        <f>IF(Analysis!A202="","",Analysis!BJ202)</f>
        <v/>
      </c>
      <c r="I290" s="33" t="str">
        <f>IF(Analysis!A202="","",Analysis!BK202)</f>
        <v/>
      </c>
    </row>
    <row r="291" spans="1:9" ht="14.25" customHeight="1" x14ac:dyDescent="0.25">
      <c r="A291" s="32" t="str">
        <f>IF(Analysis!A203="","",Analysis!A203)</f>
        <v/>
      </c>
      <c r="B291" s="33" t="str">
        <f>IF(Analysis!A203="","",Analysis!B203)</f>
        <v/>
      </c>
      <c r="C291" s="33" t="str">
        <f>IF(Analysis!A203="","",Analysis!C203)</f>
        <v/>
      </c>
      <c r="D291" s="33" t="str">
        <f>IF(Analysis!A203="","",Analysis!F203)</f>
        <v/>
      </c>
      <c r="E291" s="33" t="str">
        <f>IF(Analysis!A203="","",Analysis!BG203)</f>
        <v/>
      </c>
      <c r="F291" s="33" t="str">
        <f>IF(Analysis!A203="","",Analysis!AN203)</f>
        <v/>
      </c>
      <c r="G291" s="33" t="str">
        <f>IF(Analysis!A203="","",Analysis!BA203)</f>
        <v/>
      </c>
      <c r="H291" s="34" t="str">
        <f>IF(Analysis!A203="","",Analysis!BJ203)</f>
        <v/>
      </c>
      <c r="I291" s="33" t="str">
        <f>IF(Analysis!A203="","",Analysis!BK203)</f>
        <v/>
      </c>
    </row>
    <row r="292" spans="1:9" ht="14.25" customHeight="1" x14ac:dyDescent="0.25">
      <c r="A292" s="32" t="str">
        <f>IF(Analysis!A204="","",Analysis!A204)</f>
        <v/>
      </c>
      <c r="B292" s="33" t="str">
        <f>IF(Analysis!A204="","",Analysis!B204)</f>
        <v/>
      </c>
      <c r="C292" s="33" t="str">
        <f>IF(Analysis!A204="","",Analysis!C204)</f>
        <v/>
      </c>
      <c r="D292" s="33" t="str">
        <f>IF(Analysis!A204="","",Analysis!F204)</f>
        <v/>
      </c>
      <c r="E292" s="33" t="str">
        <f>IF(Analysis!A204="","",Analysis!BG204)</f>
        <v/>
      </c>
      <c r="F292" s="33" t="str">
        <f>IF(Analysis!A204="","",Analysis!AN204)</f>
        <v/>
      </c>
      <c r="G292" s="33" t="str">
        <f>IF(Analysis!A204="","",Analysis!BA204)</f>
        <v/>
      </c>
      <c r="H292" s="34" t="str">
        <f>IF(Analysis!A204="","",Analysis!BJ204)</f>
        <v/>
      </c>
      <c r="I292" s="33" t="str">
        <f>IF(Analysis!A204="","",Analysis!BK204)</f>
        <v/>
      </c>
    </row>
    <row r="293" spans="1:9" ht="14.25" customHeight="1" x14ac:dyDescent="0.25">
      <c r="A293" s="32" t="str">
        <f>IF(Analysis!A205="","",Analysis!A205)</f>
        <v/>
      </c>
      <c r="B293" s="33" t="str">
        <f>IF(Analysis!A205="","",Analysis!B205)</f>
        <v/>
      </c>
      <c r="C293" s="33" t="str">
        <f>IF(Analysis!A205="","",Analysis!C205)</f>
        <v/>
      </c>
      <c r="D293" s="33" t="str">
        <f>IF(Analysis!A205="","",Analysis!F205)</f>
        <v/>
      </c>
      <c r="E293" s="33" t="str">
        <f>IF(Analysis!A205="","",Analysis!BG205)</f>
        <v/>
      </c>
      <c r="F293" s="33" t="str">
        <f>IF(Analysis!A205="","",Analysis!AN205)</f>
        <v/>
      </c>
      <c r="G293" s="33" t="str">
        <f>IF(Analysis!A205="","",Analysis!BA205)</f>
        <v/>
      </c>
      <c r="H293" s="34" t="str">
        <f>IF(Analysis!A205="","",Analysis!BJ205)</f>
        <v/>
      </c>
      <c r="I293" s="33" t="str">
        <f>IF(Analysis!A205="","",Analysis!BK205)</f>
        <v/>
      </c>
    </row>
    <row r="294" spans="1:9" ht="14.25" customHeight="1" x14ac:dyDescent="0.25">
      <c r="A294" s="32" t="str">
        <f>IF(Analysis!A206="","",Analysis!A206)</f>
        <v/>
      </c>
      <c r="B294" s="33" t="str">
        <f>IF(Analysis!A206="","",Analysis!B206)</f>
        <v/>
      </c>
      <c r="C294" s="33" t="str">
        <f>IF(Analysis!A206="","",Analysis!C206)</f>
        <v/>
      </c>
      <c r="D294" s="33" t="str">
        <f>IF(Analysis!A206="","",Analysis!F206)</f>
        <v/>
      </c>
      <c r="E294" s="33" t="str">
        <f>IF(Analysis!A206="","",Analysis!BG206)</f>
        <v/>
      </c>
      <c r="F294" s="33" t="str">
        <f>IF(Analysis!A206="","",Analysis!AN206)</f>
        <v/>
      </c>
      <c r="G294" s="33" t="str">
        <f>IF(Analysis!A206="","",Analysis!BA206)</f>
        <v/>
      </c>
      <c r="H294" s="34" t="str">
        <f>IF(Analysis!A206="","",Analysis!BJ206)</f>
        <v/>
      </c>
      <c r="I294" s="33" t="str">
        <f>IF(Analysis!A206="","",Analysis!BK206)</f>
        <v/>
      </c>
    </row>
    <row r="295" spans="1:9" ht="14.25" customHeight="1" x14ac:dyDescent="0.25">
      <c r="A295" s="32" t="str">
        <f>IF(Analysis!A207="","",Analysis!A207)</f>
        <v/>
      </c>
      <c r="B295" s="33" t="str">
        <f>IF(Analysis!A207="","",Analysis!B207)</f>
        <v/>
      </c>
      <c r="C295" s="33" t="str">
        <f>IF(Analysis!A207="","",Analysis!C207)</f>
        <v/>
      </c>
      <c r="D295" s="33" t="str">
        <f>IF(Analysis!A207="","",Analysis!F207)</f>
        <v/>
      </c>
      <c r="E295" s="33" t="str">
        <f>IF(Analysis!A207="","",Analysis!BG207)</f>
        <v/>
      </c>
      <c r="F295" s="33" t="str">
        <f>IF(Analysis!A207="","",Analysis!AN207)</f>
        <v/>
      </c>
      <c r="G295" s="33" t="str">
        <f>IF(Analysis!A207="","",Analysis!BA207)</f>
        <v/>
      </c>
      <c r="H295" s="34" t="str">
        <f>IF(Analysis!A207="","",Analysis!BJ207)</f>
        <v/>
      </c>
      <c r="I295" s="33" t="str">
        <f>IF(Analysis!A207="","",Analysis!BK207)</f>
        <v/>
      </c>
    </row>
    <row r="296" spans="1:9" ht="14.25" customHeight="1" x14ac:dyDescent="0.25">
      <c r="A296" s="32" t="str">
        <f>IF(Analysis!A208="","",Analysis!A208)</f>
        <v/>
      </c>
      <c r="B296" s="33" t="str">
        <f>IF(Analysis!A208="","",Analysis!B208)</f>
        <v/>
      </c>
      <c r="C296" s="33" t="str">
        <f>IF(Analysis!A208="","",Analysis!C208)</f>
        <v/>
      </c>
      <c r="D296" s="33" t="str">
        <f>IF(Analysis!A208="","",Analysis!F208)</f>
        <v/>
      </c>
      <c r="E296" s="33" t="str">
        <f>IF(Analysis!A208="","",Analysis!BG208)</f>
        <v/>
      </c>
      <c r="F296" s="33" t="str">
        <f>IF(Analysis!A208="","",Analysis!AN208)</f>
        <v/>
      </c>
      <c r="G296" s="33" t="str">
        <f>IF(Analysis!A208="","",Analysis!BA208)</f>
        <v/>
      </c>
      <c r="H296" s="34" t="str">
        <f>IF(Analysis!A208="","",Analysis!BJ208)</f>
        <v/>
      </c>
      <c r="I296" s="33" t="str">
        <f>IF(Analysis!A208="","",Analysis!BK208)</f>
        <v/>
      </c>
    </row>
    <row r="297" spans="1:9" ht="14.25" customHeight="1" x14ac:dyDescent="0.25">
      <c r="A297" s="32" t="str">
        <f>IF(Analysis!A209="","",Analysis!A209)</f>
        <v/>
      </c>
      <c r="B297" s="33" t="str">
        <f>IF(Analysis!A209="","",Analysis!B209)</f>
        <v/>
      </c>
      <c r="C297" s="33" t="str">
        <f>IF(Analysis!A209="","",Analysis!C209)</f>
        <v/>
      </c>
      <c r="D297" s="33" t="str">
        <f>IF(Analysis!A209="","",Analysis!F209)</f>
        <v/>
      </c>
      <c r="E297" s="33" t="str">
        <f>IF(Analysis!A209="","",Analysis!BG209)</f>
        <v/>
      </c>
      <c r="F297" s="33" t="str">
        <f>IF(Analysis!A209="","",Analysis!AN209)</f>
        <v/>
      </c>
      <c r="G297" s="33" t="str">
        <f>IF(Analysis!A209="","",Analysis!BA209)</f>
        <v/>
      </c>
      <c r="H297" s="34" t="str">
        <f>IF(Analysis!A209="","",Analysis!BJ209)</f>
        <v/>
      </c>
      <c r="I297" s="33" t="str">
        <f>IF(Analysis!A209="","",Analysis!BK209)</f>
        <v/>
      </c>
    </row>
    <row r="298" spans="1:9" ht="14.25" customHeight="1" x14ac:dyDescent="0.25">
      <c r="A298" s="32" t="str">
        <f>IF(Analysis!A210="","",Analysis!A210)</f>
        <v/>
      </c>
      <c r="B298" s="33" t="str">
        <f>IF(Analysis!A210="","",Analysis!B210)</f>
        <v/>
      </c>
      <c r="C298" s="33" t="str">
        <f>IF(Analysis!A210="","",Analysis!C210)</f>
        <v/>
      </c>
      <c r="D298" s="33" t="str">
        <f>IF(Analysis!A210="","",Analysis!F210)</f>
        <v/>
      </c>
      <c r="E298" s="33" t="str">
        <f>IF(Analysis!A210="","",Analysis!BG210)</f>
        <v/>
      </c>
      <c r="F298" s="33" t="str">
        <f>IF(Analysis!A210="","",Analysis!AN210)</f>
        <v/>
      </c>
      <c r="G298" s="33" t="str">
        <f>IF(Analysis!A210="","",Analysis!BA210)</f>
        <v/>
      </c>
      <c r="H298" s="34" t="str">
        <f>IF(Analysis!A210="","",Analysis!BJ210)</f>
        <v/>
      </c>
      <c r="I298" s="33" t="str">
        <f>IF(Analysis!A210="","",Analysis!BK210)</f>
        <v/>
      </c>
    </row>
    <row r="299" spans="1:9" ht="14.25" customHeight="1" x14ac:dyDescent="0.25">
      <c r="A299" s="32" t="str">
        <f>IF(Analysis!A211="","",Analysis!A211)</f>
        <v/>
      </c>
      <c r="B299" s="33" t="str">
        <f>IF(Analysis!A211="","",Analysis!B211)</f>
        <v/>
      </c>
      <c r="C299" s="33" t="str">
        <f>IF(Analysis!A211="","",Analysis!C211)</f>
        <v/>
      </c>
      <c r="D299" s="33" t="str">
        <f>IF(Analysis!A211="","",Analysis!F211)</f>
        <v/>
      </c>
      <c r="E299" s="33" t="str">
        <f>IF(Analysis!A211="","",Analysis!BG211)</f>
        <v/>
      </c>
      <c r="F299" s="33" t="str">
        <f>IF(Analysis!A211="","",Analysis!AN211)</f>
        <v/>
      </c>
      <c r="G299" s="33" t="str">
        <f>IF(Analysis!A211="","",Analysis!BA211)</f>
        <v/>
      </c>
      <c r="H299" s="34" t="str">
        <f>IF(Analysis!A211="","",Analysis!BJ211)</f>
        <v/>
      </c>
      <c r="I299" s="33" t="str">
        <f>IF(Analysis!A211="","",Analysis!BK211)</f>
        <v/>
      </c>
    </row>
    <row r="300" spans="1:9" ht="14.25" customHeight="1" x14ac:dyDescent="0.25">
      <c r="A300" s="32" t="str">
        <f>IF(Analysis!A212="","",Analysis!A212)</f>
        <v/>
      </c>
      <c r="B300" s="33" t="str">
        <f>IF(Analysis!A212="","",Analysis!B212)</f>
        <v/>
      </c>
      <c r="C300" s="33" t="str">
        <f>IF(Analysis!A212="","",Analysis!C212)</f>
        <v/>
      </c>
      <c r="D300" s="33" t="str">
        <f>IF(Analysis!A212="","",Analysis!F212)</f>
        <v/>
      </c>
      <c r="E300" s="33" t="str">
        <f>IF(Analysis!A212="","",Analysis!BG212)</f>
        <v/>
      </c>
      <c r="F300" s="33" t="str">
        <f>IF(Analysis!A212="","",Analysis!AN212)</f>
        <v/>
      </c>
      <c r="G300" s="33" t="str">
        <f>IF(Analysis!A212="","",Analysis!BA212)</f>
        <v/>
      </c>
      <c r="H300" s="34" t="str">
        <f>IF(Analysis!A212="","",Analysis!BJ212)</f>
        <v/>
      </c>
      <c r="I300" s="33" t="str">
        <f>IF(Analysis!A212="","",Analysis!BK212)</f>
        <v/>
      </c>
    </row>
    <row r="301" spans="1:9" ht="14.25" customHeight="1" x14ac:dyDescent="0.25">
      <c r="A301" s="32" t="str">
        <f>IF(Analysis!A213="","",Analysis!A213)</f>
        <v/>
      </c>
      <c r="B301" s="33" t="str">
        <f>IF(Analysis!A213="","",Analysis!B213)</f>
        <v/>
      </c>
      <c r="C301" s="33" t="str">
        <f>IF(Analysis!A213="","",Analysis!C213)</f>
        <v/>
      </c>
      <c r="D301" s="33" t="str">
        <f>IF(Analysis!A213="","",Analysis!F213)</f>
        <v/>
      </c>
      <c r="E301" s="33" t="str">
        <f>IF(Analysis!A213="","",Analysis!BG213)</f>
        <v/>
      </c>
      <c r="F301" s="33" t="str">
        <f>IF(Analysis!A213="","",Analysis!AN213)</f>
        <v/>
      </c>
      <c r="G301" s="33" t="str">
        <f>IF(Analysis!A213="","",Analysis!BA213)</f>
        <v/>
      </c>
      <c r="H301" s="34" t="str">
        <f>IF(Analysis!A213="","",Analysis!BJ213)</f>
        <v/>
      </c>
      <c r="I301" s="33" t="str">
        <f>IF(Analysis!A213="","",Analysis!BK213)</f>
        <v/>
      </c>
    </row>
    <row r="302" spans="1:9" ht="14.25" customHeight="1" x14ac:dyDescent="0.25">
      <c r="A302" s="32" t="str">
        <f>IF(Analysis!A214="","",Analysis!A214)</f>
        <v/>
      </c>
      <c r="B302" s="33" t="str">
        <f>IF(Analysis!A214="","",Analysis!B214)</f>
        <v/>
      </c>
      <c r="C302" s="33" t="str">
        <f>IF(Analysis!A214="","",Analysis!C214)</f>
        <v/>
      </c>
      <c r="D302" s="33" t="str">
        <f>IF(Analysis!A214="","",Analysis!F214)</f>
        <v/>
      </c>
      <c r="E302" s="33" t="str">
        <f>IF(Analysis!A214="","",Analysis!BG214)</f>
        <v/>
      </c>
      <c r="F302" s="33" t="str">
        <f>IF(Analysis!A214="","",Analysis!AN214)</f>
        <v/>
      </c>
      <c r="G302" s="33" t="str">
        <f>IF(Analysis!A214="","",Analysis!BA214)</f>
        <v/>
      </c>
      <c r="H302" s="34" t="str">
        <f>IF(Analysis!A214="","",Analysis!BJ214)</f>
        <v/>
      </c>
      <c r="I302" s="33" t="str">
        <f>IF(Analysis!A214="","",Analysis!BK214)</f>
        <v/>
      </c>
    </row>
    <row r="303" spans="1:9" ht="14.25" customHeight="1" x14ac:dyDescent="0.25">
      <c r="A303" s="32" t="str">
        <f>IF(Analysis!A215="","",Analysis!A215)</f>
        <v/>
      </c>
      <c r="B303" s="33" t="str">
        <f>IF(Analysis!A215="","",Analysis!B215)</f>
        <v/>
      </c>
      <c r="C303" s="33" t="str">
        <f>IF(Analysis!A215="","",Analysis!C215)</f>
        <v/>
      </c>
      <c r="D303" s="33" t="str">
        <f>IF(Analysis!A215="","",Analysis!F215)</f>
        <v/>
      </c>
      <c r="E303" s="33" t="str">
        <f>IF(Analysis!A215="","",Analysis!BG215)</f>
        <v/>
      </c>
      <c r="F303" s="33" t="str">
        <f>IF(Analysis!A215="","",Analysis!AN215)</f>
        <v/>
      </c>
      <c r="G303" s="33" t="str">
        <f>IF(Analysis!A215="","",Analysis!BA215)</f>
        <v/>
      </c>
      <c r="H303" s="34" t="str">
        <f>IF(Analysis!A215="","",Analysis!BJ215)</f>
        <v/>
      </c>
      <c r="I303" s="33" t="str">
        <f>IF(Analysis!A215="","",Analysis!BK215)</f>
        <v/>
      </c>
    </row>
    <row r="304" spans="1:9" ht="14.25" customHeight="1" x14ac:dyDescent="0.25">
      <c r="A304" s="32" t="str">
        <f>IF(Analysis!A216="","",Analysis!A216)</f>
        <v/>
      </c>
      <c r="B304" s="33" t="str">
        <f>IF(Analysis!A216="","",Analysis!B216)</f>
        <v/>
      </c>
      <c r="C304" s="33" t="str">
        <f>IF(Analysis!A216="","",Analysis!C216)</f>
        <v/>
      </c>
      <c r="D304" s="33" t="str">
        <f>IF(Analysis!A216="","",Analysis!F216)</f>
        <v/>
      </c>
      <c r="E304" s="33" t="str">
        <f>IF(Analysis!A216="","",Analysis!BG216)</f>
        <v/>
      </c>
      <c r="F304" s="33" t="str">
        <f>IF(Analysis!A216="","",Analysis!AN216)</f>
        <v/>
      </c>
      <c r="G304" s="33" t="str">
        <f>IF(Analysis!A216="","",Analysis!BA216)</f>
        <v/>
      </c>
      <c r="H304" s="34" t="str">
        <f>IF(Analysis!A216="","",Analysis!BJ216)</f>
        <v/>
      </c>
      <c r="I304" s="33" t="str">
        <f>IF(Analysis!A216="","",Analysis!BK216)</f>
        <v/>
      </c>
    </row>
    <row r="305" spans="1:9" ht="14.25" customHeight="1" x14ac:dyDescent="0.25">
      <c r="A305" s="32" t="str">
        <f>IF(Analysis!A217="","",Analysis!A217)</f>
        <v/>
      </c>
      <c r="B305" s="33" t="str">
        <f>IF(Analysis!A217="","",Analysis!B217)</f>
        <v/>
      </c>
      <c r="C305" s="33" t="str">
        <f>IF(Analysis!A217="","",Analysis!C217)</f>
        <v/>
      </c>
      <c r="D305" s="33" t="str">
        <f>IF(Analysis!A217="","",Analysis!F217)</f>
        <v/>
      </c>
      <c r="E305" s="33" t="str">
        <f>IF(Analysis!A217="","",Analysis!BG217)</f>
        <v/>
      </c>
      <c r="F305" s="33" t="str">
        <f>IF(Analysis!A217="","",Analysis!AN217)</f>
        <v/>
      </c>
      <c r="G305" s="33" t="str">
        <f>IF(Analysis!A217="","",Analysis!BA217)</f>
        <v/>
      </c>
      <c r="H305" s="34" t="str">
        <f>IF(Analysis!A217="","",Analysis!BJ217)</f>
        <v/>
      </c>
      <c r="I305" s="33" t="str">
        <f>IF(Analysis!A217="","",Analysis!BK217)</f>
        <v/>
      </c>
    </row>
    <row r="306" spans="1:9" ht="14.25" customHeight="1" x14ac:dyDescent="0.25">
      <c r="A306" s="32" t="str">
        <f>IF(Analysis!A218="","",Analysis!A218)</f>
        <v/>
      </c>
      <c r="B306" s="33" t="str">
        <f>IF(Analysis!A218="","",Analysis!B218)</f>
        <v/>
      </c>
      <c r="C306" s="33" t="str">
        <f>IF(Analysis!A218="","",Analysis!C218)</f>
        <v/>
      </c>
      <c r="D306" s="33" t="str">
        <f>IF(Analysis!A218="","",Analysis!F218)</f>
        <v/>
      </c>
      <c r="E306" s="33" t="str">
        <f>IF(Analysis!A218="","",Analysis!BG218)</f>
        <v/>
      </c>
      <c r="F306" s="33" t="str">
        <f>IF(Analysis!A218="","",Analysis!AN218)</f>
        <v/>
      </c>
      <c r="G306" s="33" t="str">
        <f>IF(Analysis!A218="","",Analysis!BA218)</f>
        <v/>
      </c>
      <c r="H306" s="34" t="str">
        <f>IF(Analysis!A218="","",Analysis!BJ218)</f>
        <v/>
      </c>
      <c r="I306" s="33" t="str">
        <f>IF(Analysis!A218="","",Analysis!BK218)</f>
        <v/>
      </c>
    </row>
    <row r="307" spans="1:9" ht="14.25" customHeight="1" x14ac:dyDescent="0.25">
      <c r="A307" s="32" t="str">
        <f>IF(Analysis!A219="","",Analysis!A219)</f>
        <v/>
      </c>
      <c r="B307" s="33" t="str">
        <f>IF(Analysis!A219="","",Analysis!B219)</f>
        <v/>
      </c>
      <c r="C307" s="33" t="str">
        <f>IF(Analysis!A219="","",Analysis!C219)</f>
        <v/>
      </c>
      <c r="D307" s="33" t="str">
        <f>IF(Analysis!A219="","",Analysis!F219)</f>
        <v/>
      </c>
      <c r="E307" s="33" t="str">
        <f>IF(Analysis!A219="","",Analysis!BG219)</f>
        <v/>
      </c>
      <c r="F307" s="33" t="str">
        <f>IF(Analysis!A219="","",Analysis!AN219)</f>
        <v/>
      </c>
      <c r="G307" s="33" t="str">
        <f>IF(Analysis!A219="","",Analysis!BA219)</f>
        <v/>
      </c>
      <c r="H307" s="34" t="str">
        <f>IF(Analysis!A219="","",Analysis!BJ219)</f>
        <v/>
      </c>
      <c r="I307" s="33" t="str">
        <f>IF(Analysis!A219="","",Analysis!BK219)</f>
        <v/>
      </c>
    </row>
    <row r="308" spans="1:9" ht="14.25" customHeight="1" x14ac:dyDescent="0.25">
      <c r="A308" s="32" t="str">
        <f>IF(Analysis!A220="","",Analysis!A220)</f>
        <v/>
      </c>
      <c r="B308" s="33" t="str">
        <f>IF(Analysis!A220="","",Analysis!B220)</f>
        <v/>
      </c>
      <c r="C308" s="33" t="str">
        <f>IF(Analysis!A220="","",Analysis!C220)</f>
        <v/>
      </c>
      <c r="D308" s="33" t="str">
        <f>IF(Analysis!A220="","",Analysis!F220)</f>
        <v/>
      </c>
      <c r="E308" s="33" t="str">
        <f>IF(Analysis!A220="","",Analysis!BG220)</f>
        <v/>
      </c>
      <c r="F308" s="33" t="str">
        <f>IF(Analysis!A220="","",Analysis!AN220)</f>
        <v/>
      </c>
      <c r="G308" s="33" t="str">
        <f>IF(Analysis!A220="","",Analysis!BA220)</f>
        <v/>
      </c>
      <c r="H308" s="34" t="str">
        <f>IF(Analysis!A220="","",Analysis!BJ220)</f>
        <v/>
      </c>
      <c r="I308" s="33" t="str">
        <f>IF(Analysis!A220="","",Analysis!BK220)</f>
        <v/>
      </c>
    </row>
    <row r="309" spans="1:9" ht="14.25" customHeight="1" x14ac:dyDescent="0.25">
      <c r="A309" s="32" t="str">
        <f>IF(Analysis!A221="","",Analysis!A221)</f>
        <v/>
      </c>
      <c r="B309" s="33" t="str">
        <f>IF(Analysis!A221="","",Analysis!B221)</f>
        <v/>
      </c>
      <c r="C309" s="33" t="str">
        <f>IF(Analysis!A221="","",Analysis!C221)</f>
        <v/>
      </c>
      <c r="D309" s="33" t="str">
        <f>IF(Analysis!A221="","",Analysis!F221)</f>
        <v/>
      </c>
      <c r="E309" s="33" t="str">
        <f>IF(Analysis!A221="","",Analysis!BG221)</f>
        <v/>
      </c>
      <c r="F309" s="33" t="str">
        <f>IF(Analysis!A221="","",Analysis!AN221)</f>
        <v/>
      </c>
      <c r="G309" s="33" t="str">
        <f>IF(Analysis!A221="","",Analysis!BA221)</f>
        <v/>
      </c>
      <c r="H309" s="34" t="str">
        <f>IF(Analysis!A221="","",Analysis!BJ221)</f>
        <v/>
      </c>
      <c r="I309" s="33" t="str">
        <f>IF(Analysis!A221="","",Analysis!BK221)</f>
        <v/>
      </c>
    </row>
    <row r="310" spans="1:9" ht="14.25" customHeight="1" x14ac:dyDescent="0.25">
      <c r="A310" s="32" t="str">
        <f>IF(Analysis!A222="","",Analysis!A222)</f>
        <v/>
      </c>
      <c r="B310" s="33" t="str">
        <f>IF(Analysis!A222="","",Analysis!B222)</f>
        <v/>
      </c>
      <c r="C310" s="33" t="str">
        <f>IF(Analysis!A222="","",Analysis!C222)</f>
        <v/>
      </c>
      <c r="D310" s="33" t="str">
        <f>IF(Analysis!A222="","",Analysis!F222)</f>
        <v/>
      </c>
      <c r="E310" s="33" t="str">
        <f>IF(Analysis!A222="","",Analysis!BG222)</f>
        <v/>
      </c>
      <c r="F310" s="33" t="str">
        <f>IF(Analysis!A222="","",Analysis!AN222)</f>
        <v/>
      </c>
      <c r="G310" s="33" t="str">
        <f>IF(Analysis!A222="","",Analysis!BA222)</f>
        <v/>
      </c>
      <c r="H310" s="34" t="str">
        <f>IF(Analysis!A222="","",Analysis!BJ222)</f>
        <v/>
      </c>
      <c r="I310" s="33" t="str">
        <f>IF(Analysis!A222="","",Analysis!BK222)</f>
        <v/>
      </c>
    </row>
    <row r="311" spans="1:9" ht="14.25" customHeight="1" x14ac:dyDescent="0.25">
      <c r="A311" s="32" t="str">
        <f>IF(Analysis!A223="","",Analysis!A223)</f>
        <v/>
      </c>
      <c r="B311" s="33" t="str">
        <f>IF(Analysis!A223="","",Analysis!B223)</f>
        <v/>
      </c>
      <c r="C311" s="33" t="str">
        <f>IF(Analysis!A223="","",Analysis!C223)</f>
        <v/>
      </c>
      <c r="D311" s="33" t="str">
        <f>IF(Analysis!A223="","",Analysis!F223)</f>
        <v/>
      </c>
      <c r="E311" s="33" t="str">
        <f>IF(Analysis!A223="","",Analysis!BG223)</f>
        <v/>
      </c>
      <c r="F311" s="33" t="str">
        <f>IF(Analysis!A223="","",Analysis!AN223)</f>
        <v/>
      </c>
      <c r="G311" s="33" t="str">
        <f>IF(Analysis!A223="","",Analysis!BA223)</f>
        <v/>
      </c>
      <c r="H311" s="34" t="str">
        <f>IF(Analysis!A223="","",Analysis!BJ223)</f>
        <v/>
      </c>
      <c r="I311" s="33" t="str">
        <f>IF(Analysis!A223="","",Analysis!BK223)</f>
        <v/>
      </c>
    </row>
    <row r="312" spans="1:9" ht="14.25" customHeight="1" x14ac:dyDescent="0.25">
      <c r="A312" s="32" t="str">
        <f>IF(Analysis!A224="","",Analysis!A224)</f>
        <v/>
      </c>
      <c r="B312" s="33" t="str">
        <f>IF(Analysis!A224="","",Analysis!B224)</f>
        <v/>
      </c>
      <c r="C312" s="33" t="str">
        <f>IF(Analysis!A224="","",Analysis!C224)</f>
        <v/>
      </c>
      <c r="D312" s="33" t="str">
        <f>IF(Analysis!A224="","",Analysis!F224)</f>
        <v/>
      </c>
      <c r="E312" s="33" t="str">
        <f>IF(Analysis!A224="","",Analysis!BG224)</f>
        <v/>
      </c>
      <c r="F312" s="33" t="str">
        <f>IF(Analysis!A224="","",Analysis!AN224)</f>
        <v/>
      </c>
      <c r="G312" s="33" t="str">
        <f>IF(Analysis!A224="","",Analysis!BA224)</f>
        <v/>
      </c>
      <c r="H312" s="34" t="str">
        <f>IF(Analysis!A224="","",Analysis!BJ224)</f>
        <v/>
      </c>
      <c r="I312" s="33" t="str">
        <f>IF(Analysis!A224="","",Analysis!BK224)</f>
        <v/>
      </c>
    </row>
    <row r="313" spans="1:9" ht="14.25" customHeight="1" x14ac:dyDescent="0.25">
      <c r="A313" s="32" t="str">
        <f>IF(Analysis!A225="","",Analysis!A225)</f>
        <v/>
      </c>
      <c r="B313" s="33" t="str">
        <f>IF(Analysis!A225="","",Analysis!B225)</f>
        <v/>
      </c>
      <c r="C313" s="33" t="str">
        <f>IF(Analysis!A225="","",Analysis!C225)</f>
        <v/>
      </c>
      <c r="D313" s="33" t="str">
        <f>IF(Analysis!A225="","",Analysis!F225)</f>
        <v/>
      </c>
      <c r="E313" s="33" t="str">
        <f>IF(Analysis!A225="","",Analysis!BG225)</f>
        <v/>
      </c>
      <c r="F313" s="33" t="str">
        <f>IF(Analysis!A225="","",Analysis!AN225)</f>
        <v/>
      </c>
      <c r="G313" s="33" t="str">
        <f>IF(Analysis!A225="","",Analysis!BA225)</f>
        <v/>
      </c>
      <c r="H313" s="34" t="str">
        <f>IF(Analysis!A225="","",Analysis!BJ225)</f>
        <v/>
      </c>
      <c r="I313" s="33" t="str">
        <f>IF(Analysis!A225="","",Analysis!BK225)</f>
        <v/>
      </c>
    </row>
    <row r="314" spans="1:9" ht="14.25" customHeight="1" x14ac:dyDescent="0.25">
      <c r="A314" s="32" t="str">
        <f>IF(Analysis!A226="","",Analysis!A226)</f>
        <v/>
      </c>
      <c r="B314" s="33" t="str">
        <f>IF(Analysis!A226="","",Analysis!B226)</f>
        <v/>
      </c>
      <c r="C314" s="33" t="str">
        <f>IF(Analysis!A226="","",Analysis!C226)</f>
        <v/>
      </c>
      <c r="D314" s="33" t="str">
        <f>IF(Analysis!A226="","",Analysis!F226)</f>
        <v/>
      </c>
      <c r="E314" s="33" t="str">
        <f>IF(Analysis!A226="","",Analysis!BG226)</f>
        <v/>
      </c>
      <c r="F314" s="33" t="str">
        <f>IF(Analysis!A226="","",Analysis!AN226)</f>
        <v/>
      </c>
      <c r="G314" s="33" t="str">
        <f>IF(Analysis!A226="","",Analysis!BA226)</f>
        <v/>
      </c>
      <c r="H314" s="34" t="str">
        <f>IF(Analysis!A226="","",Analysis!BJ226)</f>
        <v/>
      </c>
      <c r="I314" s="33" t="str">
        <f>IF(Analysis!A226="","",Analysis!BK226)</f>
        <v/>
      </c>
    </row>
    <row r="315" spans="1:9" ht="14.25" customHeight="1" x14ac:dyDescent="0.25">
      <c r="A315" s="32" t="str">
        <f>IF(Analysis!A227="","",Analysis!A227)</f>
        <v/>
      </c>
      <c r="B315" s="33" t="str">
        <f>IF(Analysis!A227="","",Analysis!B227)</f>
        <v/>
      </c>
      <c r="C315" s="33" t="str">
        <f>IF(Analysis!A227="","",Analysis!C227)</f>
        <v/>
      </c>
      <c r="D315" s="33" t="str">
        <f>IF(Analysis!A227="","",Analysis!F227)</f>
        <v/>
      </c>
      <c r="E315" s="33" t="str">
        <f>IF(Analysis!A227="","",Analysis!BG227)</f>
        <v/>
      </c>
      <c r="F315" s="33" t="str">
        <f>IF(Analysis!A227="","",Analysis!AN227)</f>
        <v/>
      </c>
      <c r="G315" s="33" t="str">
        <f>IF(Analysis!A227="","",Analysis!BA227)</f>
        <v/>
      </c>
      <c r="H315" s="34" t="str">
        <f>IF(Analysis!A227="","",Analysis!BJ227)</f>
        <v/>
      </c>
      <c r="I315" s="33" t="str">
        <f>IF(Analysis!A227="","",Analysis!BK227)</f>
        <v/>
      </c>
    </row>
    <row r="316" spans="1:9" ht="14.25" customHeight="1" x14ac:dyDescent="0.25">
      <c r="A316" s="32" t="str">
        <f>IF(Analysis!A228="","",Analysis!A228)</f>
        <v/>
      </c>
      <c r="B316" s="33" t="str">
        <f>IF(Analysis!A228="","",Analysis!B228)</f>
        <v/>
      </c>
      <c r="C316" s="33" t="str">
        <f>IF(Analysis!A228="","",Analysis!C228)</f>
        <v/>
      </c>
      <c r="D316" s="33" t="str">
        <f>IF(Analysis!A228="","",Analysis!F228)</f>
        <v/>
      </c>
      <c r="E316" s="33" t="str">
        <f>IF(Analysis!A228="","",Analysis!BG228)</f>
        <v/>
      </c>
      <c r="F316" s="33" t="str">
        <f>IF(Analysis!A228="","",Analysis!AN228)</f>
        <v/>
      </c>
      <c r="G316" s="33" t="str">
        <f>IF(Analysis!A228="","",Analysis!BA228)</f>
        <v/>
      </c>
      <c r="H316" s="34" t="str">
        <f>IF(Analysis!A228="","",Analysis!BJ228)</f>
        <v/>
      </c>
      <c r="I316" s="33" t="str">
        <f>IF(Analysis!A228="","",Analysis!BK228)</f>
        <v/>
      </c>
    </row>
    <row r="317" spans="1:9" ht="14.25" customHeight="1" x14ac:dyDescent="0.25">
      <c r="A317" s="32" t="str">
        <f>IF(Analysis!A229="","",Analysis!A229)</f>
        <v/>
      </c>
      <c r="B317" s="33" t="str">
        <f>IF(Analysis!A229="","",Analysis!B229)</f>
        <v/>
      </c>
      <c r="C317" s="33" t="str">
        <f>IF(Analysis!A229="","",Analysis!C229)</f>
        <v/>
      </c>
      <c r="D317" s="33" t="str">
        <f>IF(Analysis!A229="","",Analysis!F229)</f>
        <v/>
      </c>
      <c r="E317" s="33" t="str">
        <f>IF(Analysis!A229="","",Analysis!BG229)</f>
        <v/>
      </c>
      <c r="F317" s="33" t="str">
        <f>IF(Analysis!A229="","",Analysis!AN229)</f>
        <v/>
      </c>
      <c r="G317" s="33" t="str">
        <f>IF(Analysis!A229="","",Analysis!BA229)</f>
        <v/>
      </c>
      <c r="H317" s="34" t="str">
        <f>IF(Analysis!A229="","",Analysis!BJ229)</f>
        <v/>
      </c>
      <c r="I317" s="33" t="str">
        <f>IF(Analysis!A229="","",Analysis!BK229)</f>
        <v/>
      </c>
    </row>
    <row r="318" spans="1:9" ht="14.25" customHeight="1" x14ac:dyDescent="0.25">
      <c r="A318" s="32" t="str">
        <f>IF(Analysis!A230="","",Analysis!A230)</f>
        <v/>
      </c>
      <c r="B318" s="33" t="str">
        <f>IF(Analysis!A230="","",Analysis!B230)</f>
        <v/>
      </c>
      <c r="C318" s="33" t="str">
        <f>IF(Analysis!A230="","",Analysis!C230)</f>
        <v/>
      </c>
      <c r="D318" s="33" t="str">
        <f>IF(Analysis!A230="","",Analysis!F230)</f>
        <v/>
      </c>
      <c r="E318" s="33" t="str">
        <f>IF(Analysis!A230="","",Analysis!BG230)</f>
        <v/>
      </c>
      <c r="F318" s="33" t="str">
        <f>IF(Analysis!A230="","",Analysis!AN230)</f>
        <v/>
      </c>
      <c r="G318" s="33" t="str">
        <f>IF(Analysis!A230="","",Analysis!BA230)</f>
        <v/>
      </c>
      <c r="H318" s="34" t="str">
        <f>IF(Analysis!A230="","",Analysis!BJ230)</f>
        <v/>
      </c>
      <c r="I318" s="33" t="str">
        <f>IF(Analysis!A230="","",Analysis!BK230)</f>
        <v/>
      </c>
    </row>
    <row r="319" spans="1:9" ht="14.25" customHeight="1" x14ac:dyDescent="0.25">
      <c r="A319" s="32" t="str">
        <f>IF(Analysis!A231="","",Analysis!A231)</f>
        <v/>
      </c>
      <c r="B319" s="33" t="str">
        <f>IF(Analysis!A231="","",Analysis!B231)</f>
        <v/>
      </c>
      <c r="C319" s="33" t="str">
        <f>IF(Analysis!A231="","",Analysis!C231)</f>
        <v/>
      </c>
      <c r="D319" s="33" t="str">
        <f>IF(Analysis!A231="","",Analysis!F231)</f>
        <v/>
      </c>
      <c r="E319" s="33" t="str">
        <f>IF(Analysis!A231="","",Analysis!BG231)</f>
        <v/>
      </c>
      <c r="F319" s="33" t="str">
        <f>IF(Analysis!A231="","",Analysis!AN231)</f>
        <v/>
      </c>
      <c r="G319" s="33" t="str">
        <f>IF(Analysis!A231="","",Analysis!BA231)</f>
        <v/>
      </c>
      <c r="H319" s="34" t="str">
        <f>IF(Analysis!A231="","",Analysis!BJ231)</f>
        <v/>
      </c>
      <c r="I319" s="33" t="str">
        <f>IF(Analysis!A231="","",Analysis!BK231)</f>
        <v/>
      </c>
    </row>
    <row r="320" spans="1:9" ht="14.25" customHeight="1" x14ac:dyDescent="0.25">
      <c r="A320" s="32" t="str">
        <f>IF(Analysis!A232="","",Analysis!A232)</f>
        <v/>
      </c>
      <c r="B320" s="33" t="str">
        <f>IF(Analysis!A232="","",Analysis!B232)</f>
        <v/>
      </c>
      <c r="C320" s="33" t="str">
        <f>IF(Analysis!A232="","",Analysis!C232)</f>
        <v/>
      </c>
      <c r="D320" s="33" t="str">
        <f>IF(Analysis!A232="","",Analysis!F232)</f>
        <v/>
      </c>
      <c r="E320" s="33" t="str">
        <f>IF(Analysis!A232="","",Analysis!BG232)</f>
        <v/>
      </c>
      <c r="F320" s="33" t="str">
        <f>IF(Analysis!A232="","",Analysis!AN232)</f>
        <v/>
      </c>
      <c r="G320" s="33" t="str">
        <f>IF(Analysis!A232="","",Analysis!BA232)</f>
        <v/>
      </c>
      <c r="H320" s="34" t="str">
        <f>IF(Analysis!A232="","",Analysis!BJ232)</f>
        <v/>
      </c>
      <c r="I320" s="33" t="str">
        <f>IF(Analysis!A232="","",Analysis!BK232)</f>
        <v/>
      </c>
    </row>
    <row r="321" spans="1:9" ht="14.25" customHeight="1" x14ac:dyDescent="0.25">
      <c r="A321" s="32" t="str">
        <f>IF(Analysis!A233="","",Analysis!A233)</f>
        <v/>
      </c>
      <c r="B321" s="33" t="str">
        <f>IF(Analysis!A233="","",Analysis!B233)</f>
        <v/>
      </c>
      <c r="C321" s="33" t="str">
        <f>IF(Analysis!A233="","",Analysis!C233)</f>
        <v/>
      </c>
      <c r="D321" s="33" t="str">
        <f>IF(Analysis!A233="","",Analysis!F233)</f>
        <v/>
      </c>
      <c r="E321" s="33" t="str">
        <f>IF(Analysis!A233="","",Analysis!BG233)</f>
        <v/>
      </c>
      <c r="F321" s="33" t="str">
        <f>IF(Analysis!A233="","",Analysis!AN233)</f>
        <v/>
      </c>
      <c r="G321" s="33" t="str">
        <f>IF(Analysis!A233="","",Analysis!BA233)</f>
        <v/>
      </c>
      <c r="H321" s="34" t="str">
        <f>IF(Analysis!A233="","",Analysis!BJ233)</f>
        <v/>
      </c>
      <c r="I321" s="33" t="str">
        <f>IF(Analysis!A233="","",Analysis!BK233)</f>
        <v/>
      </c>
    </row>
    <row r="322" spans="1:9" ht="14.25" customHeight="1" x14ac:dyDescent="0.25">
      <c r="A322" s="32" t="str">
        <f>IF(Analysis!A234="","",Analysis!A234)</f>
        <v/>
      </c>
      <c r="B322" s="33" t="str">
        <f>IF(Analysis!A234="","",Analysis!B234)</f>
        <v/>
      </c>
      <c r="C322" s="33" t="str">
        <f>IF(Analysis!A234="","",Analysis!C234)</f>
        <v/>
      </c>
      <c r="D322" s="33" t="str">
        <f>IF(Analysis!A234="","",Analysis!F234)</f>
        <v/>
      </c>
      <c r="E322" s="33" t="str">
        <f>IF(Analysis!A234="","",Analysis!BG234)</f>
        <v/>
      </c>
      <c r="F322" s="33" t="str">
        <f>IF(Analysis!A234="","",Analysis!AN234)</f>
        <v/>
      </c>
      <c r="G322" s="33" t="str">
        <f>IF(Analysis!A234="","",Analysis!BA234)</f>
        <v/>
      </c>
      <c r="H322" s="34" t="str">
        <f>IF(Analysis!A234="","",Analysis!BJ234)</f>
        <v/>
      </c>
      <c r="I322" s="33" t="str">
        <f>IF(Analysis!A234="","",Analysis!BK234)</f>
        <v/>
      </c>
    </row>
    <row r="323" spans="1:9" ht="14.25" customHeight="1" x14ac:dyDescent="0.25">
      <c r="A323" s="32" t="str">
        <f>IF(Analysis!A235="","",Analysis!A235)</f>
        <v/>
      </c>
      <c r="B323" s="33" t="str">
        <f>IF(Analysis!A235="","",Analysis!B235)</f>
        <v/>
      </c>
      <c r="C323" s="33" t="str">
        <f>IF(Analysis!A235="","",Analysis!C235)</f>
        <v/>
      </c>
      <c r="D323" s="33" t="str">
        <f>IF(Analysis!A235="","",Analysis!F235)</f>
        <v/>
      </c>
      <c r="E323" s="33" t="str">
        <f>IF(Analysis!A235="","",Analysis!BG235)</f>
        <v/>
      </c>
      <c r="F323" s="33" t="str">
        <f>IF(Analysis!A235="","",Analysis!AN235)</f>
        <v/>
      </c>
      <c r="G323" s="33" t="str">
        <f>IF(Analysis!A235="","",Analysis!BA235)</f>
        <v/>
      </c>
      <c r="H323" s="34" t="str">
        <f>IF(Analysis!A235="","",Analysis!BJ235)</f>
        <v/>
      </c>
      <c r="I323" s="33" t="str">
        <f>IF(Analysis!A235="","",Analysis!BK235)</f>
        <v/>
      </c>
    </row>
    <row r="324" spans="1:9" ht="14.25" customHeight="1" x14ac:dyDescent="0.25">
      <c r="A324" s="32" t="str">
        <f>IF(Analysis!A236="","",Analysis!A236)</f>
        <v/>
      </c>
      <c r="B324" s="33" t="str">
        <f>IF(Analysis!A236="","",Analysis!B236)</f>
        <v/>
      </c>
      <c r="C324" s="33" t="str">
        <f>IF(Analysis!A236="","",Analysis!C236)</f>
        <v/>
      </c>
      <c r="D324" s="33" t="str">
        <f>IF(Analysis!A236="","",Analysis!F236)</f>
        <v/>
      </c>
      <c r="E324" s="33" t="str">
        <f>IF(Analysis!A236="","",Analysis!BG236)</f>
        <v/>
      </c>
      <c r="F324" s="33" t="str">
        <f>IF(Analysis!A236="","",Analysis!AN236)</f>
        <v/>
      </c>
      <c r="G324" s="33" t="str">
        <f>IF(Analysis!A236="","",Analysis!BA236)</f>
        <v/>
      </c>
      <c r="H324" s="34" t="str">
        <f>IF(Analysis!A236="","",Analysis!BJ236)</f>
        <v/>
      </c>
      <c r="I324" s="33" t="str">
        <f>IF(Analysis!A236="","",Analysis!BK236)</f>
        <v/>
      </c>
    </row>
    <row r="325" spans="1:9" ht="14.25" customHeight="1" x14ac:dyDescent="0.25">
      <c r="A325" s="32" t="str">
        <f>IF(Analysis!A237="","",Analysis!A237)</f>
        <v/>
      </c>
      <c r="B325" s="33" t="str">
        <f>IF(Analysis!A237="","",Analysis!B237)</f>
        <v/>
      </c>
      <c r="C325" s="33" t="str">
        <f>IF(Analysis!A237="","",Analysis!C237)</f>
        <v/>
      </c>
      <c r="D325" s="33" t="str">
        <f>IF(Analysis!A237="","",Analysis!F237)</f>
        <v/>
      </c>
      <c r="E325" s="33" t="str">
        <f>IF(Analysis!A237="","",Analysis!BG237)</f>
        <v/>
      </c>
      <c r="F325" s="33" t="str">
        <f>IF(Analysis!A237="","",Analysis!AN237)</f>
        <v/>
      </c>
      <c r="G325" s="33" t="str">
        <f>IF(Analysis!A237="","",Analysis!BA237)</f>
        <v/>
      </c>
      <c r="H325" s="34" t="str">
        <f>IF(Analysis!A237="","",Analysis!BJ237)</f>
        <v/>
      </c>
      <c r="I325" s="33" t="str">
        <f>IF(Analysis!A237="","",Analysis!BK237)</f>
        <v/>
      </c>
    </row>
    <row r="326" spans="1:9" ht="14.25" customHeight="1" x14ac:dyDescent="0.25">
      <c r="A326" s="32" t="str">
        <f>IF(Analysis!A238="","",Analysis!A238)</f>
        <v/>
      </c>
      <c r="B326" s="33" t="str">
        <f>IF(Analysis!A238="","",Analysis!B238)</f>
        <v/>
      </c>
      <c r="C326" s="33" t="str">
        <f>IF(Analysis!A238="","",Analysis!C238)</f>
        <v/>
      </c>
      <c r="D326" s="33" t="str">
        <f>IF(Analysis!A238="","",Analysis!F238)</f>
        <v/>
      </c>
      <c r="E326" s="33" t="str">
        <f>IF(Analysis!A238="","",Analysis!BG238)</f>
        <v/>
      </c>
      <c r="F326" s="33" t="str">
        <f>IF(Analysis!A238="","",Analysis!AN238)</f>
        <v/>
      </c>
      <c r="G326" s="33" t="str">
        <f>IF(Analysis!A238="","",Analysis!BA238)</f>
        <v/>
      </c>
      <c r="H326" s="34" t="str">
        <f>IF(Analysis!A238="","",Analysis!BJ238)</f>
        <v/>
      </c>
      <c r="I326" s="33" t="str">
        <f>IF(Analysis!A238="","",Analysis!BK238)</f>
        <v/>
      </c>
    </row>
    <row r="327" spans="1:9" ht="14.25" customHeight="1" x14ac:dyDescent="0.25">
      <c r="A327" s="32" t="str">
        <f>IF(Analysis!A239="","",Analysis!A239)</f>
        <v/>
      </c>
      <c r="B327" s="33" t="str">
        <f>IF(Analysis!A239="","",Analysis!B239)</f>
        <v/>
      </c>
      <c r="C327" s="33" t="str">
        <f>IF(Analysis!A239="","",Analysis!C239)</f>
        <v/>
      </c>
      <c r="D327" s="33" t="str">
        <f>IF(Analysis!A239="","",Analysis!F239)</f>
        <v/>
      </c>
      <c r="E327" s="33" t="str">
        <f>IF(Analysis!A239="","",Analysis!BG239)</f>
        <v/>
      </c>
      <c r="F327" s="33" t="str">
        <f>IF(Analysis!A239="","",Analysis!AN239)</f>
        <v/>
      </c>
      <c r="G327" s="33" t="str">
        <f>IF(Analysis!A239="","",Analysis!BA239)</f>
        <v/>
      </c>
      <c r="H327" s="34" t="str">
        <f>IF(Analysis!A239="","",Analysis!BJ239)</f>
        <v/>
      </c>
      <c r="I327" s="33" t="str">
        <f>IF(Analysis!A239="","",Analysis!BK239)</f>
        <v/>
      </c>
    </row>
    <row r="328" spans="1:9" ht="14.25" customHeight="1" x14ac:dyDescent="0.25">
      <c r="A328" s="32" t="str">
        <f>IF(Analysis!A240="","",Analysis!A240)</f>
        <v/>
      </c>
      <c r="B328" s="33" t="str">
        <f>IF(Analysis!A240="","",Analysis!B240)</f>
        <v/>
      </c>
      <c r="C328" s="33" t="str">
        <f>IF(Analysis!A240="","",Analysis!C240)</f>
        <v/>
      </c>
      <c r="D328" s="33" t="str">
        <f>IF(Analysis!A240="","",Analysis!F240)</f>
        <v/>
      </c>
      <c r="E328" s="33" t="str">
        <f>IF(Analysis!A240="","",Analysis!BG240)</f>
        <v/>
      </c>
      <c r="F328" s="33" t="str">
        <f>IF(Analysis!A240="","",Analysis!AN240)</f>
        <v/>
      </c>
      <c r="G328" s="33" t="str">
        <f>IF(Analysis!A240="","",Analysis!BA240)</f>
        <v/>
      </c>
      <c r="H328" s="34" t="str">
        <f>IF(Analysis!A240="","",Analysis!BJ240)</f>
        <v/>
      </c>
      <c r="I328" s="33" t="str">
        <f>IF(Analysis!A240="","",Analysis!BK240)</f>
        <v/>
      </c>
    </row>
    <row r="329" spans="1:9" ht="14.25" customHeight="1" x14ac:dyDescent="0.25">
      <c r="A329" s="32" t="str">
        <f>IF(Analysis!A241="","",Analysis!A241)</f>
        <v/>
      </c>
      <c r="B329" s="33" t="str">
        <f>IF(Analysis!A241="","",Analysis!B241)</f>
        <v/>
      </c>
      <c r="C329" s="33" t="str">
        <f>IF(Analysis!A241="","",Analysis!C241)</f>
        <v/>
      </c>
      <c r="D329" s="33" t="str">
        <f>IF(Analysis!A241="","",Analysis!F241)</f>
        <v/>
      </c>
      <c r="E329" s="33" t="str">
        <f>IF(Analysis!A241="","",Analysis!BG241)</f>
        <v/>
      </c>
      <c r="F329" s="33" t="str">
        <f>IF(Analysis!A241="","",Analysis!AN241)</f>
        <v/>
      </c>
      <c r="G329" s="33" t="str">
        <f>IF(Analysis!A241="","",Analysis!BA241)</f>
        <v/>
      </c>
      <c r="H329" s="34" t="str">
        <f>IF(Analysis!A241="","",Analysis!BJ241)</f>
        <v/>
      </c>
      <c r="I329" s="33" t="str">
        <f>IF(Analysis!A241="","",Analysis!BK241)</f>
        <v/>
      </c>
    </row>
    <row r="330" spans="1:9" ht="14.25" customHeight="1" x14ac:dyDescent="0.25">
      <c r="A330" s="32" t="str">
        <f>IF(Analysis!A242="","",Analysis!A242)</f>
        <v/>
      </c>
      <c r="B330" s="33" t="str">
        <f>IF(Analysis!A242="","",Analysis!B242)</f>
        <v/>
      </c>
      <c r="C330" s="33" t="str">
        <f>IF(Analysis!A242="","",Analysis!C242)</f>
        <v/>
      </c>
      <c r="D330" s="33" t="str">
        <f>IF(Analysis!A242="","",Analysis!F242)</f>
        <v/>
      </c>
      <c r="E330" s="33" t="str">
        <f>IF(Analysis!A242="","",Analysis!BG242)</f>
        <v/>
      </c>
      <c r="F330" s="33" t="str">
        <f>IF(Analysis!A242="","",Analysis!AN242)</f>
        <v/>
      </c>
      <c r="G330" s="33" t="str">
        <f>IF(Analysis!A242="","",Analysis!BA242)</f>
        <v/>
      </c>
      <c r="H330" s="34" t="str">
        <f>IF(Analysis!A242="","",Analysis!BJ242)</f>
        <v/>
      </c>
      <c r="I330" s="33" t="str">
        <f>IF(Analysis!A242="","",Analysis!BK242)</f>
        <v/>
      </c>
    </row>
    <row r="331" spans="1:9" ht="14.25" customHeight="1" x14ac:dyDescent="0.25">
      <c r="A331" s="32" t="str">
        <f>IF(Analysis!A243="","",Analysis!A243)</f>
        <v/>
      </c>
      <c r="B331" s="33" t="str">
        <f>IF(Analysis!A243="","",Analysis!B243)</f>
        <v/>
      </c>
      <c r="C331" s="33" t="str">
        <f>IF(Analysis!A243="","",Analysis!C243)</f>
        <v/>
      </c>
      <c r="D331" s="33" t="str">
        <f>IF(Analysis!A243="","",Analysis!F243)</f>
        <v/>
      </c>
      <c r="E331" s="33" t="str">
        <f>IF(Analysis!A243="","",Analysis!BG243)</f>
        <v/>
      </c>
      <c r="F331" s="33" t="str">
        <f>IF(Analysis!A243="","",Analysis!AN243)</f>
        <v/>
      </c>
      <c r="G331" s="33" t="str">
        <f>IF(Analysis!A243="","",Analysis!BA243)</f>
        <v/>
      </c>
      <c r="H331" s="34" t="str">
        <f>IF(Analysis!A243="","",Analysis!BJ243)</f>
        <v/>
      </c>
      <c r="I331" s="33" t="str">
        <f>IF(Analysis!A243="","",Analysis!BK243)</f>
        <v/>
      </c>
    </row>
    <row r="332" spans="1:9" ht="14.25" customHeight="1" x14ac:dyDescent="0.25">
      <c r="A332" s="32" t="str">
        <f>IF(Analysis!A244="","",Analysis!A244)</f>
        <v/>
      </c>
      <c r="B332" s="33" t="str">
        <f>IF(Analysis!A244="","",Analysis!B244)</f>
        <v/>
      </c>
      <c r="C332" s="33" t="str">
        <f>IF(Analysis!A244="","",Analysis!C244)</f>
        <v/>
      </c>
      <c r="D332" s="33" t="str">
        <f>IF(Analysis!A244="","",Analysis!F244)</f>
        <v/>
      </c>
      <c r="E332" s="33" t="str">
        <f>IF(Analysis!A244="","",Analysis!BG244)</f>
        <v/>
      </c>
      <c r="F332" s="33" t="str">
        <f>IF(Analysis!A244="","",Analysis!AN244)</f>
        <v/>
      </c>
      <c r="G332" s="33" t="str">
        <f>IF(Analysis!A244="","",Analysis!BA244)</f>
        <v/>
      </c>
      <c r="H332" s="34" t="str">
        <f>IF(Analysis!A244="","",Analysis!BJ244)</f>
        <v/>
      </c>
      <c r="I332" s="33" t="str">
        <f>IF(Analysis!A244="","",Analysis!BK244)</f>
        <v/>
      </c>
    </row>
    <row r="333" spans="1:9" ht="14.25" customHeight="1" x14ac:dyDescent="0.25">
      <c r="A333" s="32" t="str">
        <f>IF(Analysis!A245="","",Analysis!A245)</f>
        <v/>
      </c>
      <c r="B333" s="33" t="str">
        <f>IF(Analysis!A245="","",Analysis!B245)</f>
        <v/>
      </c>
      <c r="C333" s="33" t="str">
        <f>IF(Analysis!A245="","",Analysis!C245)</f>
        <v/>
      </c>
      <c r="D333" s="33" t="str">
        <f>IF(Analysis!A245="","",Analysis!F245)</f>
        <v/>
      </c>
      <c r="E333" s="33" t="str">
        <f>IF(Analysis!A245="","",Analysis!BG245)</f>
        <v/>
      </c>
      <c r="F333" s="33" t="str">
        <f>IF(Analysis!A245="","",Analysis!AN245)</f>
        <v/>
      </c>
      <c r="G333" s="33" t="str">
        <f>IF(Analysis!A245="","",Analysis!BA245)</f>
        <v/>
      </c>
      <c r="H333" s="34" t="str">
        <f>IF(Analysis!A245="","",Analysis!BJ245)</f>
        <v/>
      </c>
      <c r="I333" s="33" t="str">
        <f>IF(Analysis!A245="","",Analysis!BK245)</f>
        <v/>
      </c>
    </row>
    <row r="334" spans="1:9" ht="14.25" customHeight="1" x14ac:dyDescent="0.25">
      <c r="A334" s="32" t="str">
        <f>IF(Analysis!A246="","",Analysis!A246)</f>
        <v/>
      </c>
      <c r="B334" s="33" t="str">
        <f>IF(Analysis!A246="","",Analysis!B246)</f>
        <v/>
      </c>
      <c r="C334" s="33" t="str">
        <f>IF(Analysis!A246="","",Analysis!C246)</f>
        <v/>
      </c>
      <c r="D334" s="33" t="str">
        <f>IF(Analysis!A246="","",Analysis!F246)</f>
        <v/>
      </c>
      <c r="E334" s="33" t="str">
        <f>IF(Analysis!A246="","",Analysis!BG246)</f>
        <v/>
      </c>
      <c r="F334" s="33" t="str">
        <f>IF(Analysis!A246="","",Analysis!AN246)</f>
        <v/>
      </c>
      <c r="G334" s="33" t="str">
        <f>IF(Analysis!A246="","",Analysis!BA246)</f>
        <v/>
      </c>
      <c r="H334" s="34" t="str">
        <f>IF(Analysis!A246="","",Analysis!BJ246)</f>
        <v/>
      </c>
      <c r="I334" s="33" t="str">
        <f>IF(Analysis!A246="","",Analysis!BK246)</f>
        <v/>
      </c>
    </row>
    <row r="335" spans="1:9" ht="14.25" customHeight="1" x14ac:dyDescent="0.25">
      <c r="A335" s="32" t="str">
        <f>IF(Analysis!A247="","",Analysis!A247)</f>
        <v/>
      </c>
      <c r="B335" s="33" t="str">
        <f>IF(Analysis!A247="","",Analysis!B247)</f>
        <v/>
      </c>
      <c r="C335" s="33" t="str">
        <f>IF(Analysis!A247="","",Analysis!C247)</f>
        <v/>
      </c>
      <c r="D335" s="33" t="str">
        <f>IF(Analysis!A247="","",Analysis!F247)</f>
        <v/>
      </c>
      <c r="E335" s="33" t="str">
        <f>IF(Analysis!A247="","",Analysis!BG247)</f>
        <v/>
      </c>
      <c r="F335" s="33" t="str">
        <f>IF(Analysis!A247="","",Analysis!AN247)</f>
        <v/>
      </c>
      <c r="G335" s="33" t="str">
        <f>IF(Analysis!A247="","",Analysis!BA247)</f>
        <v/>
      </c>
      <c r="H335" s="34" t="str">
        <f>IF(Analysis!A247="","",Analysis!BJ247)</f>
        <v/>
      </c>
      <c r="I335" s="33" t="str">
        <f>IF(Analysis!A247="","",Analysis!BK247)</f>
        <v/>
      </c>
    </row>
    <row r="336" spans="1:9" ht="14.25" customHeight="1" x14ac:dyDescent="0.25">
      <c r="A336" s="32" t="str">
        <f>IF(Analysis!A248="","",Analysis!A248)</f>
        <v/>
      </c>
      <c r="B336" s="33" t="str">
        <f>IF(Analysis!A248="","",Analysis!B248)</f>
        <v/>
      </c>
      <c r="C336" s="33" t="str">
        <f>IF(Analysis!A248="","",Analysis!C248)</f>
        <v/>
      </c>
      <c r="D336" s="33" t="str">
        <f>IF(Analysis!A248="","",Analysis!F248)</f>
        <v/>
      </c>
      <c r="E336" s="33" t="str">
        <f>IF(Analysis!A248="","",Analysis!BG248)</f>
        <v/>
      </c>
      <c r="F336" s="33" t="str">
        <f>IF(Analysis!A248="","",Analysis!AN248)</f>
        <v/>
      </c>
      <c r="G336" s="33" t="str">
        <f>IF(Analysis!A248="","",Analysis!BA248)</f>
        <v/>
      </c>
      <c r="H336" s="34" t="str">
        <f>IF(Analysis!A248="","",Analysis!BJ248)</f>
        <v/>
      </c>
      <c r="I336" s="33" t="str">
        <f>IF(Analysis!A248="","",Analysis!BK248)</f>
        <v/>
      </c>
    </row>
    <row r="337" spans="1:9" ht="14.25" customHeight="1" x14ac:dyDescent="0.25">
      <c r="A337" s="32" t="str">
        <f>IF(Analysis!A249="","",Analysis!A249)</f>
        <v/>
      </c>
      <c r="B337" s="33" t="str">
        <f>IF(Analysis!A249="","",Analysis!B249)</f>
        <v/>
      </c>
      <c r="C337" s="33" t="str">
        <f>IF(Analysis!A249="","",Analysis!C249)</f>
        <v/>
      </c>
      <c r="D337" s="33" t="str">
        <f>IF(Analysis!A249="","",Analysis!F249)</f>
        <v/>
      </c>
      <c r="E337" s="33" t="str">
        <f>IF(Analysis!A249="","",Analysis!BG249)</f>
        <v/>
      </c>
      <c r="F337" s="33" t="str">
        <f>IF(Analysis!A249="","",Analysis!AN249)</f>
        <v/>
      </c>
      <c r="G337" s="33" t="str">
        <f>IF(Analysis!A249="","",Analysis!BA249)</f>
        <v/>
      </c>
      <c r="H337" s="34" t="str">
        <f>IF(Analysis!A249="","",Analysis!BJ249)</f>
        <v/>
      </c>
      <c r="I337" s="33" t="str">
        <f>IF(Analysis!A249="","",Analysis!BK249)</f>
        <v/>
      </c>
    </row>
    <row r="338" spans="1:9" ht="14.25" customHeight="1" x14ac:dyDescent="0.25">
      <c r="A338" s="32" t="str">
        <f>IF(Analysis!A250="","",Analysis!A250)</f>
        <v/>
      </c>
      <c r="B338" s="33" t="str">
        <f>IF(Analysis!A250="","",Analysis!B250)</f>
        <v/>
      </c>
      <c r="C338" s="33" t="str">
        <f>IF(Analysis!A250="","",Analysis!C250)</f>
        <v/>
      </c>
      <c r="D338" s="33" t="str">
        <f>IF(Analysis!A250="","",Analysis!F250)</f>
        <v/>
      </c>
      <c r="E338" s="33" t="str">
        <f>IF(Analysis!A250="","",Analysis!BG250)</f>
        <v/>
      </c>
      <c r="F338" s="33" t="str">
        <f>IF(Analysis!A250="","",Analysis!AN250)</f>
        <v/>
      </c>
      <c r="G338" s="33" t="str">
        <f>IF(Analysis!A250="","",Analysis!BA250)</f>
        <v/>
      </c>
      <c r="H338" s="34" t="str">
        <f>IF(Analysis!A250="","",Analysis!BJ250)</f>
        <v/>
      </c>
      <c r="I338" s="33" t="str">
        <f>IF(Analysis!A250="","",Analysis!BK250)</f>
        <v/>
      </c>
    </row>
    <row r="339" spans="1:9" ht="14.25" customHeight="1" x14ac:dyDescent="0.25">
      <c r="A339" s="32" t="str">
        <f>IF(Analysis!A251="","",Analysis!A251)</f>
        <v/>
      </c>
      <c r="B339" s="33" t="str">
        <f>IF(Analysis!A251="","",Analysis!B251)</f>
        <v/>
      </c>
      <c r="C339" s="33" t="str">
        <f>IF(Analysis!A251="","",Analysis!C251)</f>
        <v/>
      </c>
      <c r="D339" s="33" t="str">
        <f>IF(Analysis!A251="","",Analysis!F251)</f>
        <v/>
      </c>
      <c r="E339" s="33" t="str">
        <f>IF(Analysis!A251="","",Analysis!BG251)</f>
        <v/>
      </c>
      <c r="F339" s="33" t="str">
        <f>IF(Analysis!A251="","",Analysis!AN251)</f>
        <v/>
      </c>
      <c r="G339" s="33" t="str">
        <f>IF(Analysis!A251="","",Analysis!BA251)</f>
        <v/>
      </c>
      <c r="H339" s="34" t="str">
        <f>IF(Analysis!A251="","",Analysis!BJ251)</f>
        <v/>
      </c>
      <c r="I339" s="33" t="str">
        <f>IF(Analysis!A251="","",Analysis!BK251)</f>
        <v/>
      </c>
    </row>
    <row r="340" spans="1:9" ht="14.25" customHeight="1" x14ac:dyDescent="0.25">
      <c r="A340" s="32" t="str">
        <f>IF(Analysis!A252="","",Analysis!A252)</f>
        <v/>
      </c>
      <c r="B340" s="33" t="str">
        <f>IF(Analysis!A252="","",Analysis!B252)</f>
        <v/>
      </c>
      <c r="C340" s="33" t="str">
        <f>IF(Analysis!A252="","",Analysis!C252)</f>
        <v/>
      </c>
      <c r="D340" s="33" t="str">
        <f>IF(Analysis!A252="","",Analysis!F252)</f>
        <v/>
      </c>
      <c r="E340" s="33" t="str">
        <f>IF(Analysis!A252="","",Analysis!BG252)</f>
        <v/>
      </c>
      <c r="F340" s="33" t="str">
        <f>IF(Analysis!A252="","",Analysis!AN252)</f>
        <v/>
      </c>
      <c r="G340" s="33" t="str">
        <f>IF(Analysis!A252="","",Analysis!BA252)</f>
        <v/>
      </c>
      <c r="H340" s="34" t="str">
        <f>IF(Analysis!A252="","",Analysis!BJ252)</f>
        <v/>
      </c>
      <c r="I340" s="33" t="str">
        <f>IF(Analysis!A252="","",Analysis!BK252)</f>
        <v/>
      </c>
    </row>
    <row r="341" spans="1:9" ht="14.25" customHeight="1" x14ac:dyDescent="0.25">
      <c r="A341" s="32" t="str">
        <f>IF(Analysis!A253="","",Analysis!A253)</f>
        <v/>
      </c>
      <c r="B341" s="33" t="str">
        <f>IF(Analysis!A253="","",Analysis!B253)</f>
        <v/>
      </c>
      <c r="C341" s="33" t="str">
        <f>IF(Analysis!A253="","",Analysis!C253)</f>
        <v/>
      </c>
      <c r="D341" s="33" t="str">
        <f>IF(Analysis!A253="","",Analysis!F253)</f>
        <v/>
      </c>
      <c r="E341" s="33" t="str">
        <f>IF(Analysis!A253="","",Analysis!BG253)</f>
        <v/>
      </c>
      <c r="F341" s="33" t="str">
        <f>IF(Analysis!A253="","",Analysis!AN253)</f>
        <v/>
      </c>
      <c r="G341" s="33" t="str">
        <f>IF(Analysis!A253="","",Analysis!BA253)</f>
        <v/>
      </c>
      <c r="H341" s="34" t="str">
        <f>IF(Analysis!A253="","",Analysis!BJ253)</f>
        <v/>
      </c>
      <c r="I341" s="33" t="str">
        <f>IF(Analysis!A253="","",Analysis!BK253)</f>
        <v/>
      </c>
    </row>
    <row r="342" spans="1:9" ht="14.25" customHeight="1" x14ac:dyDescent="0.25">
      <c r="A342" s="32" t="str">
        <f>IF(Analysis!A254="","",Analysis!A254)</f>
        <v/>
      </c>
      <c r="B342" s="33" t="str">
        <f>IF(Analysis!A254="","",Analysis!B254)</f>
        <v/>
      </c>
      <c r="C342" s="33" t="str">
        <f>IF(Analysis!A254="","",Analysis!C254)</f>
        <v/>
      </c>
      <c r="D342" s="33" t="str">
        <f>IF(Analysis!A254="","",Analysis!F254)</f>
        <v/>
      </c>
      <c r="E342" s="33" t="str">
        <f>IF(Analysis!A254="","",Analysis!BG254)</f>
        <v/>
      </c>
      <c r="F342" s="33" t="str">
        <f>IF(Analysis!A254="","",Analysis!AN254)</f>
        <v/>
      </c>
      <c r="G342" s="33" t="str">
        <f>IF(Analysis!A254="","",Analysis!BA254)</f>
        <v/>
      </c>
      <c r="H342" s="34" t="str">
        <f>IF(Analysis!A254="","",Analysis!BJ254)</f>
        <v/>
      </c>
      <c r="I342" s="33" t="str">
        <f>IF(Analysis!A254="","",Analysis!BK254)</f>
        <v/>
      </c>
    </row>
    <row r="343" spans="1:9" ht="14.25" customHeight="1" x14ac:dyDescent="0.25">
      <c r="A343" s="32" t="str">
        <f>IF(Analysis!A255="","",Analysis!A255)</f>
        <v/>
      </c>
      <c r="B343" s="33" t="str">
        <f>IF(Analysis!A255="","",Analysis!B255)</f>
        <v/>
      </c>
      <c r="C343" s="33" t="str">
        <f>IF(Analysis!A255="","",Analysis!C255)</f>
        <v/>
      </c>
      <c r="D343" s="33" t="str">
        <f>IF(Analysis!A255="","",Analysis!F255)</f>
        <v/>
      </c>
      <c r="E343" s="33" t="str">
        <f>IF(Analysis!A255="","",Analysis!BG255)</f>
        <v/>
      </c>
      <c r="F343" s="33" t="str">
        <f>IF(Analysis!A255="","",Analysis!AN255)</f>
        <v/>
      </c>
      <c r="G343" s="33" t="str">
        <f>IF(Analysis!A255="","",Analysis!BA255)</f>
        <v/>
      </c>
      <c r="H343" s="34" t="str">
        <f>IF(Analysis!A255="","",Analysis!BJ255)</f>
        <v/>
      </c>
      <c r="I343" s="33" t="str">
        <f>IF(Analysis!A255="","",Analysis!BK255)</f>
        <v/>
      </c>
    </row>
    <row r="344" spans="1:9" ht="14.25" customHeight="1" x14ac:dyDescent="0.25">
      <c r="A344" s="32" t="str">
        <f>IF(Analysis!A256="","",Analysis!A256)</f>
        <v/>
      </c>
      <c r="B344" s="33" t="str">
        <f>IF(Analysis!A256="","",Analysis!B256)</f>
        <v/>
      </c>
      <c r="C344" s="33" t="str">
        <f>IF(Analysis!A256="","",Analysis!C256)</f>
        <v/>
      </c>
      <c r="D344" s="33" t="str">
        <f>IF(Analysis!A256="","",Analysis!F256)</f>
        <v/>
      </c>
      <c r="E344" s="33" t="str">
        <f>IF(Analysis!A256="","",Analysis!BG256)</f>
        <v/>
      </c>
      <c r="F344" s="33" t="str">
        <f>IF(Analysis!A256="","",Analysis!AN256)</f>
        <v/>
      </c>
      <c r="G344" s="33" t="str">
        <f>IF(Analysis!A256="","",Analysis!BA256)</f>
        <v/>
      </c>
      <c r="H344" s="34" t="str">
        <f>IF(Analysis!A256="","",Analysis!BJ256)</f>
        <v/>
      </c>
      <c r="I344" s="33" t="str">
        <f>IF(Analysis!A256="","",Analysis!BK256)</f>
        <v/>
      </c>
    </row>
    <row r="345" spans="1:9" ht="14.25" customHeight="1" x14ac:dyDescent="0.25">
      <c r="A345" s="32" t="str">
        <f>IF(Analysis!A257="","",Analysis!A257)</f>
        <v/>
      </c>
      <c r="B345" s="33" t="str">
        <f>IF(Analysis!A257="","",Analysis!B257)</f>
        <v/>
      </c>
      <c r="C345" s="33" t="str">
        <f>IF(Analysis!A257="","",Analysis!C257)</f>
        <v/>
      </c>
      <c r="D345" s="33" t="str">
        <f>IF(Analysis!A257="","",Analysis!F257)</f>
        <v/>
      </c>
      <c r="E345" s="33" t="str">
        <f>IF(Analysis!A257="","",Analysis!BG257)</f>
        <v/>
      </c>
      <c r="F345" s="33" t="str">
        <f>IF(Analysis!A257="","",Analysis!AN257)</f>
        <v/>
      </c>
      <c r="G345" s="33" t="str">
        <f>IF(Analysis!A257="","",Analysis!BA257)</f>
        <v/>
      </c>
      <c r="H345" s="34" t="str">
        <f>IF(Analysis!A257="","",Analysis!BJ257)</f>
        <v/>
      </c>
      <c r="I345" s="33" t="str">
        <f>IF(Analysis!A257="","",Analysis!BK257)</f>
        <v/>
      </c>
    </row>
    <row r="346" spans="1:9" ht="14.25" customHeight="1" x14ac:dyDescent="0.25">
      <c r="A346" s="32" t="str">
        <f>IF(Analysis!A258="","",Analysis!A258)</f>
        <v/>
      </c>
      <c r="B346" s="33" t="str">
        <f>IF(Analysis!A258="","",Analysis!B258)</f>
        <v/>
      </c>
      <c r="C346" s="33" t="str">
        <f>IF(Analysis!A258="","",Analysis!C258)</f>
        <v/>
      </c>
      <c r="D346" s="33" t="str">
        <f>IF(Analysis!A258="","",Analysis!F258)</f>
        <v/>
      </c>
      <c r="E346" s="33" t="str">
        <f>IF(Analysis!A258="","",Analysis!BG258)</f>
        <v/>
      </c>
      <c r="F346" s="33" t="str">
        <f>IF(Analysis!A258="","",Analysis!AN258)</f>
        <v/>
      </c>
      <c r="G346" s="33" t="str">
        <f>IF(Analysis!A258="","",Analysis!BA258)</f>
        <v/>
      </c>
      <c r="H346" s="34" t="str">
        <f>IF(Analysis!A258="","",Analysis!BJ258)</f>
        <v/>
      </c>
      <c r="I346" s="33" t="str">
        <f>IF(Analysis!A258="","",Analysis!BK258)</f>
        <v/>
      </c>
    </row>
    <row r="347" spans="1:9" ht="14.25" customHeight="1" x14ac:dyDescent="0.25">
      <c r="A347" s="32" t="str">
        <f>IF(Analysis!A259="","",Analysis!A259)</f>
        <v/>
      </c>
      <c r="B347" s="33" t="str">
        <f>IF(Analysis!A259="","",Analysis!B259)</f>
        <v/>
      </c>
      <c r="C347" s="33" t="str">
        <f>IF(Analysis!A259="","",Analysis!C259)</f>
        <v/>
      </c>
      <c r="D347" s="33" t="str">
        <f>IF(Analysis!A259="","",Analysis!F259)</f>
        <v/>
      </c>
      <c r="E347" s="33" t="str">
        <f>IF(Analysis!A259="","",Analysis!BG259)</f>
        <v/>
      </c>
      <c r="F347" s="33" t="str">
        <f>IF(Analysis!A259="","",Analysis!AN259)</f>
        <v/>
      </c>
      <c r="G347" s="33" t="str">
        <f>IF(Analysis!A259="","",Analysis!BA259)</f>
        <v/>
      </c>
      <c r="H347" s="34" t="str">
        <f>IF(Analysis!A259="","",Analysis!BJ259)</f>
        <v/>
      </c>
      <c r="I347" s="33" t="str">
        <f>IF(Analysis!A259="","",Analysis!BK259)</f>
        <v/>
      </c>
    </row>
    <row r="348" spans="1:9" ht="14.25" customHeight="1" x14ac:dyDescent="0.25">
      <c r="A348" s="32" t="str">
        <f>IF(Analysis!A260="","",Analysis!A260)</f>
        <v/>
      </c>
      <c r="B348" s="33" t="str">
        <f>IF(Analysis!A260="","",Analysis!B260)</f>
        <v/>
      </c>
      <c r="C348" s="33" t="str">
        <f>IF(Analysis!A260="","",Analysis!C260)</f>
        <v/>
      </c>
      <c r="D348" s="33" t="str">
        <f>IF(Analysis!A260="","",Analysis!F260)</f>
        <v/>
      </c>
      <c r="E348" s="33" t="str">
        <f>IF(Analysis!A260="","",Analysis!BG260)</f>
        <v/>
      </c>
      <c r="F348" s="33" t="str">
        <f>IF(Analysis!A260="","",Analysis!AN260)</f>
        <v/>
      </c>
      <c r="G348" s="33" t="str">
        <f>IF(Analysis!A260="","",Analysis!BA260)</f>
        <v/>
      </c>
      <c r="H348" s="34" t="str">
        <f>IF(Analysis!A260="","",Analysis!BJ260)</f>
        <v/>
      </c>
      <c r="I348" s="33" t="str">
        <f>IF(Analysis!A260="","",Analysis!BK260)</f>
        <v/>
      </c>
    </row>
    <row r="349" spans="1:9" ht="14.25" customHeight="1" x14ac:dyDescent="0.25">
      <c r="A349" s="32" t="str">
        <f>IF(Analysis!A261="","",Analysis!A261)</f>
        <v/>
      </c>
      <c r="B349" s="33" t="str">
        <f>IF(Analysis!A261="","",Analysis!B261)</f>
        <v/>
      </c>
      <c r="C349" s="33" t="str">
        <f>IF(Analysis!A261="","",Analysis!C261)</f>
        <v/>
      </c>
      <c r="D349" s="33" t="str">
        <f>IF(Analysis!A261="","",Analysis!F261)</f>
        <v/>
      </c>
      <c r="E349" s="33" t="str">
        <f>IF(Analysis!A261="","",Analysis!BG261)</f>
        <v/>
      </c>
      <c r="F349" s="33" t="str">
        <f>IF(Analysis!A261="","",Analysis!AN261)</f>
        <v/>
      </c>
      <c r="G349" s="33" t="str">
        <f>IF(Analysis!A261="","",Analysis!BA261)</f>
        <v/>
      </c>
      <c r="H349" s="34" t="str">
        <f>IF(Analysis!A261="","",Analysis!BJ261)</f>
        <v/>
      </c>
      <c r="I349" s="33" t="str">
        <f>IF(Analysis!A261="","",Analysis!BK261)</f>
        <v/>
      </c>
    </row>
    <row r="350" spans="1:9" ht="14.25" customHeight="1" x14ac:dyDescent="0.25">
      <c r="A350" s="32" t="str">
        <f>IF(Analysis!A262="","",Analysis!A262)</f>
        <v/>
      </c>
      <c r="B350" s="33" t="str">
        <f>IF(Analysis!A262="","",Analysis!B262)</f>
        <v/>
      </c>
      <c r="C350" s="33" t="str">
        <f>IF(Analysis!A262="","",Analysis!C262)</f>
        <v/>
      </c>
      <c r="D350" s="33" t="str">
        <f>IF(Analysis!A262="","",Analysis!F262)</f>
        <v/>
      </c>
      <c r="E350" s="33" t="str">
        <f>IF(Analysis!A262="","",Analysis!BG262)</f>
        <v/>
      </c>
      <c r="F350" s="33" t="str">
        <f>IF(Analysis!A262="","",Analysis!AN262)</f>
        <v/>
      </c>
      <c r="G350" s="33" t="str">
        <f>IF(Analysis!A262="","",Analysis!BA262)</f>
        <v/>
      </c>
      <c r="H350" s="34" t="str">
        <f>IF(Analysis!A262="","",Analysis!BJ262)</f>
        <v/>
      </c>
      <c r="I350" s="33" t="str">
        <f>IF(Analysis!A262="","",Analysis!BK262)</f>
        <v/>
      </c>
    </row>
    <row r="351" spans="1:9" ht="14.25" customHeight="1" x14ac:dyDescent="0.25">
      <c r="A351" s="32" t="str">
        <f>IF(Analysis!A263="","",Analysis!A263)</f>
        <v/>
      </c>
      <c r="B351" s="33" t="str">
        <f>IF(Analysis!A263="","",Analysis!B263)</f>
        <v/>
      </c>
      <c r="C351" s="33" t="str">
        <f>IF(Analysis!A263="","",Analysis!C263)</f>
        <v/>
      </c>
      <c r="D351" s="33" t="str">
        <f>IF(Analysis!A263="","",Analysis!F263)</f>
        <v/>
      </c>
      <c r="E351" s="33" t="str">
        <f>IF(Analysis!A263="","",Analysis!BG263)</f>
        <v/>
      </c>
      <c r="F351" s="33" t="str">
        <f>IF(Analysis!A263="","",Analysis!AN263)</f>
        <v/>
      </c>
      <c r="G351" s="33" t="str">
        <f>IF(Analysis!A263="","",Analysis!BA263)</f>
        <v/>
      </c>
      <c r="H351" s="34" t="str">
        <f>IF(Analysis!A263="","",Analysis!BJ263)</f>
        <v/>
      </c>
      <c r="I351" s="33" t="str">
        <f>IF(Analysis!A263="","",Analysis!BK263)</f>
        <v/>
      </c>
    </row>
    <row r="352" spans="1:9" ht="14.25" customHeight="1" x14ac:dyDescent="0.25">
      <c r="A352" s="32" t="str">
        <f>IF(Analysis!A264="","",Analysis!A264)</f>
        <v/>
      </c>
      <c r="B352" s="33" t="str">
        <f>IF(Analysis!A264="","",Analysis!B264)</f>
        <v/>
      </c>
      <c r="C352" s="33" t="str">
        <f>IF(Analysis!A264="","",Analysis!C264)</f>
        <v/>
      </c>
      <c r="D352" s="33" t="str">
        <f>IF(Analysis!A264="","",Analysis!F264)</f>
        <v/>
      </c>
      <c r="E352" s="33" t="str">
        <f>IF(Analysis!A264="","",Analysis!BG264)</f>
        <v/>
      </c>
      <c r="F352" s="33" t="str">
        <f>IF(Analysis!A264="","",Analysis!AN264)</f>
        <v/>
      </c>
      <c r="G352" s="33" t="str">
        <f>IF(Analysis!A264="","",Analysis!BA264)</f>
        <v/>
      </c>
      <c r="H352" s="34" t="str">
        <f>IF(Analysis!A264="","",Analysis!BJ264)</f>
        <v/>
      </c>
      <c r="I352" s="33" t="str">
        <f>IF(Analysis!A264="","",Analysis!BK264)</f>
        <v/>
      </c>
    </row>
    <row r="353" spans="1:9" ht="14.25" customHeight="1" x14ac:dyDescent="0.25">
      <c r="A353" s="32" t="str">
        <f>IF(Analysis!A265="","",Analysis!A265)</f>
        <v/>
      </c>
      <c r="B353" s="33" t="str">
        <f>IF(Analysis!A265="","",Analysis!B265)</f>
        <v/>
      </c>
      <c r="C353" s="33" t="str">
        <f>IF(Analysis!A265="","",Analysis!C265)</f>
        <v/>
      </c>
      <c r="D353" s="33" t="str">
        <f>IF(Analysis!A265="","",Analysis!F265)</f>
        <v/>
      </c>
      <c r="E353" s="33" t="str">
        <f>IF(Analysis!A265="","",Analysis!BG265)</f>
        <v/>
      </c>
      <c r="F353" s="33" t="str">
        <f>IF(Analysis!A265="","",Analysis!AN265)</f>
        <v/>
      </c>
      <c r="G353" s="33" t="str">
        <f>IF(Analysis!A265="","",Analysis!BA265)</f>
        <v/>
      </c>
      <c r="H353" s="34" t="str">
        <f>IF(Analysis!A265="","",Analysis!BJ265)</f>
        <v/>
      </c>
      <c r="I353" s="33" t="str">
        <f>IF(Analysis!A265="","",Analysis!BK265)</f>
        <v/>
      </c>
    </row>
    <row r="354" spans="1:9" ht="14.25" customHeight="1" x14ac:dyDescent="0.25">
      <c r="A354" s="32" t="str">
        <f>IF(Analysis!A266="","",Analysis!A266)</f>
        <v/>
      </c>
      <c r="B354" s="33" t="str">
        <f>IF(Analysis!A266="","",Analysis!B266)</f>
        <v/>
      </c>
      <c r="C354" s="33" t="str">
        <f>IF(Analysis!A266="","",Analysis!C266)</f>
        <v/>
      </c>
      <c r="D354" s="33" t="str">
        <f>IF(Analysis!A266="","",Analysis!F266)</f>
        <v/>
      </c>
      <c r="E354" s="33" t="str">
        <f>IF(Analysis!A266="","",Analysis!BG266)</f>
        <v/>
      </c>
      <c r="F354" s="33" t="str">
        <f>IF(Analysis!A266="","",Analysis!AN266)</f>
        <v/>
      </c>
      <c r="G354" s="33" t="str">
        <f>IF(Analysis!A266="","",Analysis!BA266)</f>
        <v/>
      </c>
      <c r="H354" s="34" t="str">
        <f>IF(Analysis!A266="","",Analysis!BJ266)</f>
        <v/>
      </c>
      <c r="I354" s="33" t="str">
        <f>IF(Analysis!A266="","",Analysis!BK266)</f>
        <v/>
      </c>
    </row>
    <row r="355" spans="1:9" ht="14.25" customHeight="1" x14ac:dyDescent="0.25">
      <c r="A355" s="32" t="str">
        <f>IF(Analysis!A267="","",Analysis!A267)</f>
        <v/>
      </c>
      <c r="B355" s="33" t="str">
        <f>IF(Analysis!A267="","",Analysis!B267)</f>
        <v/>
      </c>
      <c r="C355" s="33" t="str">
        <f>IF(Analysis!A267="","",Analysis!C267)</f>
        <v/>
      </c>
      <c r="D355" s="33" t="str">
        <f>IF(Analysis!A267="","",Analysis!F267)</f>
        <v/>
      </c>
      <c r="E355" s="33" t="str">
        <f>IF(Analysis!A267="","",Analysis!BG267)</f>
        <v/>
      </c>
      <c r="F355" s="33" t="str">
        <f>IF(Analysis!A267="","",Analysis!AN267)</f>
        <v/>
      </c>
      <c r="G355" s="33" t="str">
        <f>IF(Analysis!A267="","",Analysis!BA267)</f>
        <v/>
      </c>
      <c r="H355" s="34" t="str">
        <f>IF(Analysis!A267="","",Analysis!BJ267)</f>
        <v/>
      </c>
      <c r="I355" s="33" t="str">
        <f>IF(Analysis!A267="","",Analysis!BK267)</f>
        <v/>
      </c>
    </row>
    <row r="356" spans="1:9" ht="14.25" customHeight="1" x14ac:dyDescent="0.25">
      <c r="A356" s="32" t="str">
        <f>IF(Analysis!A268="","",Analysis!A268)</f>
        <v/>
      </c>
      <c r="B356" s="33" t="str">
        <f>IF(Analysis!A268="","",Analysis!B268)</f>
        <v/>
      </c>
      <c r="C356" s="33" t="str">
        <f>IF(Analysis!A268="","",Analysis!C268)</f>
        <v/>
      </c>
      <c r="D356" s="33" t="str">
        <f>IF(Analysis!A268="","",Analysis!F268)</f>
        <v/>
      </c>
      <c r="E356" s="33" t="str">
        <f>IF(Analysis!A268="","",Analysis!BG268)</f>
        <v/>
      </c>
      <c r="F356" s="33" t="str">
        <f>IF(Analysis!A268="","",Analysis!AN268)</f>
        <v/>
      </c>
      <c r="G356" s="33" t="str">
        <f>IF(Analysis!A268="","",Analysis!BA268)</f>
        <v/>
      </c>
      <c r="H356" s="34" t="str">
        <f>IF(Analysis!A268="","",Analysis!BJ268)</f>
        <v/>
      </c>
      <c r="I356" s="33" t="str">
        <f>IF(Analysis!A268="","",Analysis!BK268)</f>
        <v/>
      </c>
    </row>
    <row r="357" spans="1:9" ht="14.25" customHeight="1" x14ac:dyDescent="0.25">
      <c r="A357" s="32" t="str">
        <f>IF(Analysis!A269="","",Analysis!A269)</f>
        <v/>
      </c>
      <c r="B357" s="33" t="str">
        <f>IF(Analysis!A269="","",Analysis!B269)</f>
        <v/>
      </c>
      <c r="C357" s="33" t="str">
        <f>IF(Analysis!A269="","",Analysis!C269)</f>
        <v/>
      </c>
      <c r="D357" s="33" t="str">
        <f>IF(Analysis!A269="","",Analysis!F269)</f>
        <v/>
      </c>
      <c r="E357" s="33" t="str">
        <f>IF(Analysis!A269="","",Analysis!BG269)</f>
        <v/>
      </c>
      <c r="F357" s="33" t="str">
        <f>IF(Analysis!A269="","",Analysis!AN269)</f>
        <v/>
      </c>
      <c r="G357" s="33" t="str">
        <f>IF(Analysis!A269="","",Analysis!BA269)</f>
        <v/>
      </c>
      <c r="H357" s="34" t="str">
        <f>IF(Analysis!A269="","",Analysis!BJ269)</f>
        <v/>
      </c>
      <c r="I357" s="33" t="str">
        <f>IF(Analysis!A269="","",Analysis!BK269)</f>
        <v/>
      </c>
    </row>
    <row r="358" spans="1:9" ht="14.25" customHeight="1" x14ac:dyDescent="0.25">
      <c r="A358" s="32" t="str">
        <f>IF(Analysis!A270="","",Analysis!A270)</f>
        <v/>
      </c>
      <c r="B358" s="33" t="str">
        <f>IF(Analysis!A270="","",Analysis!B270)</f>
        <v/>
      </c>
      <c r="C358" s="33" t="str">
        <f>IF(Analysis!A270="","",Analysis!C270)</f>
        <v/>
      </c>
      <c r="D358" s="33" t="str">
        <f>IF(Analysis!A270="","",Analysis!F270)</f>
        <v/>
      </c>
      <c r="E358" s="33" t="str">
        <f>IF(Analysis!A270="","",Analysis!BG270)</f>
        <v/>
      </c>
      <c r="F358" s="33" t="str">
        <f>IF(Analysis!A270="","",Analysis!AN270)</f>
        <v/>
      </c>
      <c r="G358" s="33" t="str">
        <f>IF(Analysis!A270="","",Analysis!BA270)</f>
        <v/>
      </c>
      <c r="H358" s="34" t="str">
        <f>IF(Analysis!A270="","",Analysis!BJ270)</f>
        <v/>
      </c>
      <c r="I358" s="33" t="str">
        <f>IF(Analysis!A270="","",Analysis!BK270)</f>
        <v/>
      </c>
    </row>
    <row r="359" spans="1:9" ht="14.25" customHeight="1" x14ac:dyDescent="0.25">
      <c r="A359" s="32" t="str">
        <f>IF(Analysis!A271="","",Analysis!A271)</f>
        <v/>
      </c>
      <c r="B359" s="33" t="str">
        <f>IF(Analysis!A271="","",Analysis!B271)</f>
        <v/>
      </c>
      <c r="C359" s="33" t="str">
        <f>IF(Analysis!A271="","",Analysis!C271)</f>
        <v/>
      </c>
      <c r="D359" s="33" t="str">
        <f>IF(Analysis!A271="","",Analysis!F271)</f>
        <v/>
      </c>
      <c r="E359" s="33" t="str">
        <f>IF(Analysis!A271="","",Analysis!BG271)</f>
        <v/>
      </c>
      <c r="F359" s="33" t="str">
        <f>IF(Analysis!A271="","",Analysis!AN271)</f>
        <v/>
      </c>
      <c r="G359" s="33" t="str">
        <f>IF(Analysis!A271="","",Analysis!BA271)</f>
        <v/>
      </c>
      <c r="H359" s="34" t="str">
        <f>IF(Analysis!A271="","",Analysis!BJ271)</f>
        <v/>
      </c>
      <c r="I359" s="33" t="str">
        <f>IF(Analysis!A271="","",Analysis!BK271)</f>
        <v/>
      </c>
    </row>
    <row r="360" spans="1:9" ht="14.25" customHeight="1" x14ac:dyDescent="0.25">
      <c r="A360" s="32" t="str">
        <f>IF(Analysis!A272="","",Analysis!A272)</f>
        <v/>
      </c>
      <c r="B360" s="33" t="str">
        <f>IF(Analysis!A272="","",Analysis!B272)</f>
        <v/>
      </c>
      <c r="C360" s="33" t="str">
        <f>IF(Analysis!A272="","",Analysis!C272)</f>
        <v/>
      </c>
      <c r="D360" s="33" t="str">
        <f>IF(Analysis!A272="","",Analysis!F272)</f>
        <v/>
      </c>
      <c r="E360" s="33" t="str">
        <f>IF(Analysis!A272="","",Analysis!BG272)</f>
        <v/>
      </c>
      <c r="F360" s="33" t="str">
        <f>IF(Analysis!A272="","",Analysis!AN272)</f>
        <v/>
      </c>
      <c r="G360" s="33" t="str">
        <f>IF(Analysis!A272="","",Analysis!BA272)</f>
        <v/>
      </c>
      <c r="H360" s="34" t="str">
        <f>IF(Analysis!A272="","",Analysis!BJ272)</f>
        <v/>
      </c>
      <c r="I360" s="33" t="str">
        <f>IF(Analysis!A272="","",Analysis!BK272)</f>
        <v/>
      </c>
    </row>
    <row r="361" spans="1:9" ht="14.25" customHeight="1" x14ac:dyDescent="0.25">
      <c r="A361" s="32" t="str">
        <f>IF(Analysis!A273="","",Analysis!A273)</f>
        <v/>
      </c>
      <c r="B361" s="33" t="str">
        <f>IF(Analysis!A273="","",Analysis!B273)</f>
        <v/>
      </c>
      <c r="C361" s="33" t="str">
        <f>IF(Analysis!A273="","",Analysis!C273)</f>
        <v/>
      </c>
      <c r="D361" s="33" t="str">
        <f>IF(Analysis!A273="","",Analysis!F273)</f>
        <v/>
      </c>
      <c r="E361" s="33" t="str">
        <f>IF(Analysis!A273="","",Analysis!BG273)</f>
        <v/>
      </c>
      <c r="F361" s="33" t="str">
        <f>IF(Analysis!A273="","",Analysis!AN273)</f>
        <v/>
      </c>
      <c r="G361" s="33" t="str">
        <f>IF(Analysis!A273="","",Analysis!BA273)</f>
        <v/>
      </c>
      <c r="H361" s="34" t="str">
        <f>IF(Analysis!A273="","",Analysis!BJ273)</f>
        <v/>
      </c>
      <c r="I361" s="33" t="str">
        <f>IF(Analysis!A273="","",Analysis!BK273)</f>
        <v/>
      </c>
    </row>
    <row r="362" spans="1:9" ht="14.25" customHeight="1" x14ac:dyDescent="0.25">
      <c r="A362" s="32" t="str">
        <f>IF(Analysis!A274="","",Analysis!A274)</f>
        <v/>
      </c>
      <c r="B362" s="33" t="str">
        <f>IF(Analysis!A274="","",Analysis!B274)</f>
        <v/>
      </c>
      <c r="C362" s="33" t="str">
        <f>IF(Analysis!A274="","",Analysis!C274)</f>
        <v/>
      </c>
      <c r="D362" s="33" t="str">
        <f>IF(Analysis!A274="","",Analysis!F274)</f>
        <v/>
      </c>
      <c r="E362" s="33" t="str">
        <f>IF(Analysis!A274="","",Analysis!BG274)</f>
        <v/>
      </c>
      <c r="F362" s="33" t="str">
        <f>IF(Analysis!A274="","",Analysis!AN274)</f>
        <v/>
      </c>
      <c r="G362" s="33" t="str">
        <f>IF(Analysis!A274="","",Analysis!BA274)</f>
        <v/>
      </c>
      <c r="H362" s="34" t="str">
        <f>IF(Analysis!A274="","",Analysis!BJ274)</f>
        <v/>
      </c>
      <c r="I362" s="33" t="str">
        <f>IF(Analysis!A274="","",Analysis!BK274)</f>
        <v/>
      </c>
    </row>
    <row r="363" spans="1:9" ht="14.25" customHeight="1" x14ac:dyDescent="0.25">
      <c r="A363" s="32" t="str">
        <f>IF(Analysis!A275="","",Analysis!A275)</f>
        <v/>
      </c>
      <c r="B363" s="33" t="str">
        <f>IF(Analysis!A275="","",Analysis!B275)</f>
        <v/>
      </c>
      <c r="C363" s="33" t="str">
        <f>IF(Analysis!A275="","",Analysis!C275)</f>
        <v/>
      </c>
      <c r="D363" s="33" t="str">
        <f>IF(Analysis!A275="","",Analysis!F275)</f>
        <v/>
      </c>
      <c r="E363" s="33" t="str">
        <f>IF(Analysis!A275="","",Analysis!BG275)</f>
        <v/>
      </c>
      <c r="F363" s="33" t="str">
        <f>IF(Analysis!A275="","",Analysis!AN275)</f>
        <v/>
      </c>
      <c r="G363" s="33" t="str">
        <f>IF(Analysis!A275="","",Analysis!BA275)</f>
        <v/>
      </c>
      <c r="H363" s="34" t="str">
        <f>IF(Analysis!A275="","",Analysis!BJ275)</f>
        <v/>
      </c>
      <c r="I363" s="33" t="str">
        <f>IF(Analysis!A275="","",Analysis!BK275)</f>
        <v/>
      </c>
    </row>
    <row r="364" spans="1:9" ht="14.25" customHeight="1" x14ac:dyDescent="0.25">
      <c r="A364" s="32" t="str">
        <f>IF(Analysis!A276="","",Analysis!A276)</f>
        <v/>
      </c>
      <c r="B364" s="33" t="str">
        <f>IF(Analysis!A276="","",Analysis!B276)</f>
        <v/>
      </c>
      <c r="C364" s="33" t="str">
        <f>IF(Analysis!A276="","",Analysis!C276)</f>
        <v/>
      </c>
      <c r="D364" s="33" t="str">
        <f>IF(Analysis!A276="","",Analysis!F276)</f>
        <v/>
      </c>
      <c r="E364" s="33" t="str">
        <f>IF(Analysis!A276="","",Analysis!BG276)</f>
        <v/>
      </c>
      <c r="F364" s="33" t="str">
        <f>IF(Analysis!A276="","",Analysis!AN276)</f>
        <v/>
      </c>
      <c r="G364" s="33" t="str">
        <f>IF(Analysis!A276="","",Analysis!BA276)</f>
        <v/>
      </c>
      <c r="H364" s="34" t="str">
        <f>IF(Analysis!A276="","",Analysis!BJ276)</f>
        <v/>
      </c>
      <c r="I364" s="33" t="str">
        <f>IF(Analysis!A276="","",Analysis!BK276)</f>
        <v/>
      </c>
    </row>
    <row r="365" spans="1:9" ht="14.25" customHeight="1" x14ac:dyDescent="0.25">
      <c r="A365" s="32" t="str">
        <f>IF(Analysis!A277="","",Analysis!A277)</f>
        <v/>
      </c>
      <c r="B365" s="33" t="str">
        <f>IF(Analysis!A277="","",Analysis!B277)</f>
        <v/>
      </c>
      <c r="C365" s="33" t="str">
        <f>IF(Analysis!A277="","",Analysis!C277)</f>
        <v/>
      </c>
      <c r="D365" s="33" t="str">
        <f>IF(Analysis!A277="","",Analysis!F277)</f>
        <v/>
      </c>
      <c r="E365" s="33" t="str">
        <f>IF(Analysis!A277="","",Analysis!BG277)</f>
        <v/>
      </c>
      <c r="F365" s="33" t="str">
        <f>IF(Analysis!A277="","",Analysis!AN277)</f>
        <v/>
      </c>
      <c r="G365" s="33" t="str">
        <f>IF(Analysis!A277="","",Analysis!BA277)</f>
        <v/>
      </c>
      <c r="H365" s="34" t="str">
        <f>IF(Analysis!A277="","",Analysis!BJ277)</f>
        <v/>
      </c>
      <c r="I365" s="33" t="str">
        <f>IF(Analysis!A277="","",Analysis!BK277)</f>
        <v/>
      </c>
    </row>
    <row r="366" spans="1:9" ht="14.25" customHeight="1" x14ac:dyDescent="0.25">
      <c r="A366" s="32" t="str">
        <f>IF(Analysis!A278="","",Analysis!A278)</f>
        <v/>
      </c>
      <c r="B366" s="33" t="str">
        <f>IF(Analysis!A278="","",Analysis!B278)</f>
        <v/>
      </c>
      <c r="C366" s="33" t="str">
        <f>IF(Analysis!A278="","",Analysis!C278)</f>
        <v/>
      </c>
      <c r="D366" s="33" t="str">
        <f>IF(Analysis!A278="","",Analysis!F278)</f>
        <v/>
      </c>
      <c r="E366" s="33" t="str">
        <f>IF(Analysis!A278="","",Analysis!BG278)</f>
        <v/>
      </c>
      <c r="F366" s="33" t="str">
        <f>IF(Analysis!A278="","",Analysis!AN278)</f>
        <v/>
      </c>
      <c r="G366" s="33" t="str">
        <f>IF(Analysis!A278="","",Analysis!BA278)</f>
        <v/>
      </c>
      <c r="H366" s="34" t="str">
        <f>IF(Analysis!A278="","",Analysis!BJ278)</f>
        <v/>
      </c>
      <c r="I366" s="33" t="str">
        <f>IF(Analysis!A278="","",Analysis!BK278)</f>
        <v/>
      </c>
    </row>
    <row r="367" spans="1:9" ht="14.25" customHeight="1" x14ac:dyDescent="0.25">
      <c r="A367" s="32" t="str">
        <f>IF(Analysis!A279="","",Analysis!A279)</f>
        <v/>
      </c>
      <c r="B367" s="33" t="str">
        <f>IF(Analysis!A279="","",Analysis!B279)</f>
        <v/>
      </c>
      <c r="C367" s="33" t="str">
        <f>IF(Analysis!A279="","",Analysis!C279)</f>
        <v/>
      </c>
      <c r="D367" s="33" t="str">
        <f>IF(Analysis!A279="","",Analysis!F279)</f>
        <v/>
      </c>
      <c r="E367" s="33" t="str">
        <f>IF(Analysis!A279="","",Analysis!BG279)</f>
        <v/>
      </c>
      <c r="F367" s="33" t="str">
        <f>IF(Analysis!A279="","",Analysis!AN279)</f>
        <v/>
      </c>
      <c r="G367" s="33" t="str">
        <f>IF(Analysis!A279="","",Analysis!BA279)</f>
        <v/>
      </c>
      <c r="H367" s="34" t="str">
        <f>IF(Analysis!A279="","",Analysis!BJ279)</f>
        <v/>
      </c>
      <c r="I367" s="33" t="str">
        <f>IF(Analysis!A279="","",Analysis!BK279)</f>
        <v/>
      </c>
    </row>
    <row r="368" spans="1:9" ht="14.25" customHeight="1" x14ac:dyDescent="0.25">
      <c r="A368" s="32" t="str">
        <f>IF(Analysis!A280="","",Analysis!A280)</f>
        <v/>
      </c>
      <c r="B368" s="33" t="str">
        <f>IF(Analysis!A280="","",Analysis!B280)</f>
        <v/>
      </c>
      <c r="C368" s="33" t="str">
        <f>IF(Analysis!A280="","",Analysis!C280)</f>
        <v/>
      </c>
      <c r="D368" s="33" t="str">
        <f>IF(Analysis!A280="","",Analysis!F280)</f>
        <v/>
      </c>
      <c r="E368" s="33" t="str">
        <f>IF(Analysis!A280="","",Analysis!BG280)</f>
        <v/>
      </c>
      <c r="F368" s="33" t="str">
        <f>IF(Analysis!A280="","",Analysis!AN280)</f>
        <v/>
      </c>
      <c r="G368" s="33" t="str">
        <f>IF(Analysis!A280="","",Analysis!BA280)</f>
        <v/>
      </c>
      <c r="H368" s="34" t="str">
        <f>IF(Analysis!A280="","",Analysis!BJ280)</f>
        <v/>
      </c>
      <c r="I368" s="33" t="str">
        <f>IF(Analysis!A280="","",Analysis!BK280)</f>
        <v/>
      </c>
    </row>
    <row r="369" spans="1:9" ht="14.25" customHeight="1" x14ac:dyDescent="0.25">
      <c r="A369" s="32" t="str">
        <f>IF(Analysis!A281="","",Analysis!A281)</f>
        <v/>
      </c>
      <c r="B369" s="33" t="str">
        <f>IF(Analysis!A281="","",Analysis!B281)</f>
        <v/>
      </c>
      <c r="C369" s="33" t="str">
        <f>IF(Analysis!A281="","",Analysis!C281)</f>
        <v/>
      </c>
      <c r="D369" s="33" t="str">
        <f>IF(Analysis!A281="","",Analysis!F281)</f>
        <v/>
      </c>
      <c r="E369" s="33" t="str">
        <f>IF(Analysis!A281="","",Analysis!BG281)</f>
        <v/>
      </c>
      <c r="F369" s="33" t="str">
        <f>IF(Analysis!A281="","",Analysis!AN281)</f>
        <v/>
      </c>
      <c r="G369" s="33" t="str">
        <f>IF(Analysis!A281="","",Analysis!BA281)</f>
        <v/>
      </c>
      <c r="H369" s="34" t="str">
        <f>IF(Analysis!A281="","",Analysis!BJ281)</f>
        <v/>
      </c>
      <c r="I369" s="33" t="str">
        <f>IF(Analysis!A281="","",Analysis!BK281)</f>
        <v/>
      </c>
    </row>
    <row r="370" spans="1:9" ht="14.25" customHeight="1" x14ac:dyDescent="0.25">
      <c r="A370" s="32" t="str">
        <f>IF(Analysis!A282="","",Analysis!A282)</f>
        <v/>
      </c>
      <c r="B370" s="33" t="str">
        <f>IF(Analysis!A282="","",Analysis!B282)</f>
        <v/>
      </c>
      <c r="C370" s="33" t="str">
        <f>IF(Analysis!A282="","",Analysis!C282)</f>
        <v/>
      </c>
      <c r="D370" s="33" t="str">
        <f>IF(Analysis!A282="","",Analysis!F282)</f>
        <v/>
      </c>
      <c r="E370" s="33" t="str">
        <f>IF(Analysis!A282="","",Analysis!BG282)</f>
        <v/>
      </c>
      <c r="F370" s="33" t="str">
        <f>IF(Analysis!A282="","",Analysis!AN282)</f>
        <v/>
      </c>
      <c r="G370" s="33" t="str">
        <f>IF(Analysis!A282="","",Analysis!BA282)</f>
        <v/>
      </c>
      <c r="H370" s="34" t="str">
        <f>IF(Analysis!A282="","",Analysis!BJ282)</f>
        <v/>
      </c>
      <c r="I370" s="33" t="str">
        <f>IF(Analysis!A282="","",Analysis!BK282)</f>
        <v/>
      </c>
    </row>
    <row r="371" spans="1:9" ht="14.25" customHeight="1" x14ac:dyDescent="0.25">
      <c r="A371" s="32" t="str">
        <f>IF(Analysis!A283="","",Analysis!A283)</f>
        <v/>
      </c>
      <c r="B371" s="33" t="str">
        <f>IF(Analysis!A283="","",Analysis!B283)</f>
        <v/>
      </c>
      <c r="C371" s="33" t="str">
        <f>IF(Analysis!A283="","",Analysis!C283)</f>
        <v/>
      </c>
      <c r="D371" s="33" t="str">
        <f>IF(Analysis!A283="","",Analysis!F283)</f>
        <v/>
      </c>
      <c r="E371" s="33" t="str">
        <f>IF(Analysis!A283="","",Analysis!BG283)</f>
        <v/>
      </c>
      <c r="F371" s="33" t="str">
        <f>IF(Analysis!A283="","",Analysis!AN283)</f>
        <v/>
      </c>
      <c r="G371" s="33" t="str">
        <f>IF(Analysis!A283="","",Analysis!BA283)</f>
        <v/>
      </c>
      <c r="H371" s="34" t="str">
        <f>IF(Analysis!A283="","",Analysis!BJ283)</f>
        <v/>
      </c>
      <c r="I371" s="33" t="str">
        <f>IF(Analysis!A283="","",Analysis!BK283)</f>
        <v/>
      </c>
    </row>
    <row r="372" spans="1:9" ht="14.25" customHeight="1" x14ac:dyDescent="0.25">
      <c r="A372" s="32" t="str">
        <f>IF(Analysis!A284="","",Analysis!A284)</f>
        <v/>
      </c>
      <c r="B372" s="33" t="str">
        <f>IF(Analysis!A284="","",Analysis!B284)</f>
        <v/>
      </c>
      <c r="C372" s="33" t="str">
        <f>IF(Analysis!A284="","",Analysis!C284)</f>
        <v/>
      </c>
      <c r="D372" s="33" t="str">
        <f>IF(Analysis!A284="","",Analysis!F284)</f>
        <v/>
      </c>
      <c r="E372" s="33" t="str">
        <f>IF(Analysis!A284="","",Analysis!BG284)</f>
        <v/>
      </c>
      <c r="F372" s="33" t="str">
        <f>IF(Analysis!A284="","",Analysis!AN284)</f>
        <v/>
      </c>
      <c r="G372" s="33" t="str">
        <f>IF(Analysis!A284="","",Analysis!BA284)</f>
        <v/>
      </c>
      <c r="H372" s="34" t="str">
        <f>IF(Analysis!A284="","",Analysis!BJ284)</f>
        <v/>
      </c>
      <c r="I372" s="33" t="str">
        <f>IF(Analysis!A284="","",Analysis!BK284)</f>
        <v/>
      </c>
    </row>
    <row r="373" spans="1:9" ht="14.25" customHeight="1" x14ac:dyDescent="0.25">
      <c r="A373" s="32" t="str">
        <f>IF(Analysis!A285="","",Analysis!A285)</f>
        <v/>
      </c>
      <c r="B373" s="33" t="str">
        <f>IF(Analysis!A285="","",Analysis!B285)</f>
        <v/>
      </c>
      <c r="C373" s="33" t="str">
        <f>IF(Analysis!A285="","",Analysis!C285)</f>
        <v/>
      </c>
      <c r="D373" s="33" t="str">
        <f>IF(Analysis!A285="","",Analysis!F285)</f>
        <v/>
      </c>
      <c r="E373" s="33" t="str">
        <f>IF(Analysis!A285="","",Analysis!BG285)</f>
        <v/>
      </c>
      <c r="F373" s="33" t="str">
        <f>IF(Analysis!A285="","",Analysis!AN285)</f>
        <v/>
      </c>
      <c r="G373" s="33" t="str">
        <f>IF(Analysis!A285="","",Analysis!BA285)</f>
        <v/>
      </c>
      <c r="H373" s="34" t="str">
        <f>IF(Analysis!A285="","",Analysis!BJ285)</f>
        <v/>
      </c>
      <c r="I373" s="33" t="str">
        <f>IF(Analysis!A285="","",Analysis!BK285)</f>
        <v/>
      </c>
    </row>
    <row r="374" spans="1:9" ht="14.25" customHeight="1" x14ac:dyDescent="0.25">
      <c r="A374" s="32" t="str">
        <f>IF(Analysis!A286="","",Analysis!A286)</f>
        <v/>
      </c>
      <c r="B374" s="33" t="str">
        <f>IF(Analysis!A286="","",Analysis!B286)</f>
        <v/>
      </c>
      <c r="C374" s="33" t="str">
        <f>IF(Analysis!A286="","",Analysis!C286)</f>
        <v/>
      </c>
      <c r="D374" s="33" t="str">
        <f>IF(Analysis!A286="","",Analysis!F286)</f>
        <v/>
      </c>
      <c r="E374" s="33" t="str">
        <f>IF(Analysis!A286="","",Analysis!BG286)</f>
        <v/>
      </c>
      <c r="F374" s="33" t="str">
        <f>IF(Analysis!A286="","",Analysis!AN286)</f>
        <v/>
      </c>
      <c r="G374" s="33" t="str">
        <f>IF(Analysis!A286="","",Analysis!BA286)</f>
        <v/>
      </c>
      <c r="H374" s="34" t="str">
        <f>IF(Analysis!A286="","",Analysis!BJ286)</f>
        <v/>
      </c>
      <c r="I374" s="33" t="str">
        <f>IF(Analysis!A286="","",Analysis!BK286)</f>
        <v/>
      </c>
    </row>
    <row r="375" spans="1:9" ht="14.25" customHeight="1" x14ac:dyDescent="0.25">
      <c r="A375" s="32" t="str">
        <f>IF(Analysis!A287="","",Analysis!A287)</f>
        <v/>
      </c>
      <c r="B375" s="33" t="str">
        <f>IF(Analysis!A287="","",Analysis!B287)</f>
        <v/>
      </c>
      <c r="C375" s="33" t="str">
        <f>IF(Analysis!A287="","",Analysis!C287)</f>
        <v/>
      </c>
      <c r="D375" s="33" t="str">
        <f>IF(Analysis!A287="","",Analysis!F287)</f>
        <v/>
      </c>
      <c r="E375" s="33" t="str">
        <f>IF(Analysis!A287="","",Analysis!BG287)</f>
        <v/>
      </c>
      <c r="F375" s="33" t="str">
        <f>IF(Analysis!A287="","",Analysis!AN287)</f>
        <v/>
      </c>
      <c r="G375" s="33" t="str">
        <f>IF(Analysis!A287="","",Analysis!BA287)</f>
        <v/>
      </c>
      <c r="H375" s="34" t="str">
        <f>IF(Analysis!A287="","",Analysis!BJ287)</f>
        <v/>
      </c>
      <c r="I375" s="33" t="str">
        <f>IF(Analysis!A287="","",Analysis!BK287)</f>
        <v/>
      </c>
    </row>
    <row r="376" spans="1:9" ht="14.25" customHeight="1" x14ac:dyDescent="0.25">
      <c r="A376" s="32" t="str">
        <f>IF(Analysis!A288="","",Analysis!A288)</f>
        <v/>
      </c>
      <c r="B376" s="33" t="str">
        <f>IF(Analysis!A288="","",Analysis!B288)</f>
        <v/>
      </c>
      <c r="C376" s="33" t="str">
        <f>IF(Analysis!A288="","",Analysis!C288)</f>
        <v/>
      </c>
      <c r="D376" s="33" t="str">
        <f>IF(Analysis!A288="","",Analysis!F288)</f>
        <v/>
      </c>
      <c r="E376" s="33" t="str">
        <f>IF(Analysis!A288="","",Analysis!BG288)</f>
        <v/>
      </c>
      <c r="F376" s="33" t="str">
        <f>IF(Analysis!A288="","",Analysis!AN288)</f>
        <v/>
      </c>
      <c r="G376" s="33" t="str">
        <f>IF(Analysis!A288="","",Analysis!BA288)</f>
        <v/>
      </c>
      <c r="H376" s="34" t="str">
        <f>IF(Analysis!A288="","",Analysis!BJ288)</f>
        <v/>
      </c>
      <c r="I376" s="33" t="str">
        <f>IF(Analysis!A288="","",Analysis!BK288)</f>
        <v/>
      </c>
    </row>
    <row r="377" spans="1:9" ht="14.25" customHeight="1" x14ac:dyDescent="0.25">
      <c r="A377" s="32" t="str">
        <f>IF(Analysis!A289="","",Analysis!A289)</f>
        <v/>
      </c>
      <c r="B377" s="33" t="str">
        <f>IF(Analysis!A289="","",Analysis!B289)</f>
        <v/>
      </c>
      <c r="C377" s="33" t="str">
        <f>IF(Analysis!A289="","",Analysis!C289)</f>
        <v/>
      </c>
      <c r="D377" s="33" t="str">
        <f>IF(Analysis!A289="","",Analysis!F289)</f>
        <v/>
      </c>
      <c r="E377" s="33" t="str">
        <f>IF(Analysis!A289="","",Analysis!BG289)</f>
        <v/>
      </c>
      <c r="F377" s="33" t="str">
        <f>IF(Analysis!A289="","",Analysis!AN289)</f>
        <v/>
      </c>
      <c r="G377" s="33" t="str">
        <f>IF(Analysis!A289="","",Analysis!BA289)</f>
        <v/>
      </c>
      <c r="H377" s="34" t="str">
        <f>IF(Analysis!A289="","",Analysis!BJ289)</f>
        <v/>
      </c>
      <c r="I377" s="33" t="str">
        <f>IF(Analysis!A289="","",Analysis!BK289)</f>
        <v/>
      </c>
    </row>
    <row r="378" spans="1:9" ht="14.25" customHeight="1" x14ac:dyDescent="0.25">
      <c r="A378" s="32" t="str">
        <f>IF(Analysis!A290="","",Analysis!A290)</f>
        <v/>
      </c>
      <c r="B378" s="33" t="str">
        <f>IF(Analysis!A290="","",Analysis!B290)</f>
        <v/>
      </c>
      <c r="C378" s="33" t="str">
        <f>IF(Analysis!A290="","",Analysis!C290)</f>
        <v/>
      </c>
      <c r="D378" s="33" t="str">
        <f>IF(Analysis!A290="","",Analysis!F290)</f>
        <v/>
      </c>
      <c r="E378" s="33" t="str">
        <f>IF(Analysis!A290="","",Analysis!BG290)</f>
        <v/>
      </c>
      <c r="F378" s="33" t="str">
        <f>IF(Analysis!A290="","",Analysis!AN290)</f>
        <v/>
      </c>
      <c r="G378" s="33" t="str">
        <f>IF(Analysis!A290="","",Analysis!BA290)</f>
        <v/>
      </c>
      <c r="H378" s="34" t="str">
        <f>IF(Analysis!A290="","",Analysis!BJ290)</f>
        <v/>
      </c>
      <c r="I378" s="33" t="str">
        <f>IF(Analysis!A290="","",Analysis!BK290)</f>
        <v/>
      </c>
    </row>
    <row r="379" spans="1:9" ht="14.25" customHeight="1" x14ac:dyDescent="0.25">
      <c r="A379" s="32" t="str">
        <f>IF(Analysis!A291="","",Analysis!A291)</f>
        <v/>
      </c>
      <c r="B379" s="33" t="str">
        <f>IF(Analysis!A291="","",Analysis!B291)</f>
        <v/>
      </c>
      <c r="C379" s="33" t="str">
        <f>IF(Analysis!A291="","",Analysis!C291)</f>
        <v/>
      </c>
      <c r="D379" s="33" t="str">
        <f>IF(Analysis!A291="","",Analysis!F291)</f>
        <v/>
      </c>
      <c r="E379" s="33" t="str">
        <f>IF(Analysis!A291="","",Analysis!BG291)</f>
        <v/>
      </c>
      <c r="F379" s="33" t="str">
        <f>IF(Analysis!A291="","",Analysis!AN291)</f>
        <v/>
      </c>
      <c r="G379" s="33" t="str">
        <f>IF(Analysis!A291="","",Analysis!BA291)</f>
        <v/>
      </c>
      <c r="H379" s="34" t="str">
        <f>IF(Analysis!A291="","",Analysis!BJ291)</f>
        <v/>
      </c>
      <c r="I379" s="33" t="str">
        <f>IF(Analysis!A291="","",Analysis!BK291)</f>
        <v/>
      </c>
    </row>
    <row r="380" spans="1:9" ht="14.25" customHeight="1" x14ac:dyDescent="0.25">
      <c r="A380" s="32" t="str">
        <f>IF(Analysis!A292="","",Analysis!A292)</f>
        <v/>
      </c>
      <c r="B380" s="33" t="str">
        <f>IF(Analysis!A292="","",Analysis!B292)</f>
        <v/>
      </c>
      <c r="C380" s="33" t="str">
        <f>IF(Analysis!A292="","",Analysis!C292)</f>
        <v/>
      </c>
      <c r="D380" s="33" t="str">
        <f>IF(Analysis!A292="","",Analysis!F292)</f>
        <v/>
      </c>
      <c r="E380" s="33" t="str">
        <f>IF(Analysis!A292="","",Analysis!BG292)</f>
        <v/>
      </c>
      <c r="F380" s="33" t="str">
        <f>IF(Analysis!A292="","",Analysis!AN292)</f>
        <v/>
      </c>
      <c r="G380" s="33" t="str">
        <f>IF(Analysis!A292="","",Analysis!BA292)</f>
        <v/>
      </c>
      <c r="H380" s="34" t="str">
        <f>IF(Analysis!A292="","",Analysis!BJ292)</f>
        <v/>
      </c>
      <c r="I380" s="33" t="str">
        <f>IF(Analysis!A292="","",Analysis!BK292)</f>
        <v/>
      </c>
    </row>
    <row r="381" spans="1:9" ht="14.25" customHeight="1" x14ac:dyDescent="0.25">
      <c r="A381" s="32" t="str">
        <f>IF(Analysis!A293="","",Analysis!A293)</f>
        <v/>
      </c>
      <c r="B381" s="33" t="str">
        <f>IF(Analysis!A293="","",Analysis!B293)</f>
        <v/>
      </c>
      <c r="C381" s="33" t="str">
        <f>IF(Analysis!A293="","",Analysis!C293)</f>
        <v/>
      </c>
      <c r="D381" s="33" t="str">
        <f>IF(Analysis!A293="","",Analysis!F293)</f>
        <v/>
      </c>
      <c r="E381" s="33" t="str">
        <f>IF(Analysis!A293="","",Analysis!BG293)</f>
        <v/>
      </c>
      <c r="F381" s="33" t="str">
        <f>IF(Analysis!A293="","",Analysis!AN293)</f>
        <v/>
      </c>
      <c r="G381" s="33" t="str">
        <f>IF(Analysis!A293="","",Analysis!BA293)</f>
        <v/>
      </c>
      <c r="H381" s="34" t="str">
        <f>IF(Analysis!A293="","",Analysis!BJ293)</f>
        <v/>
      </c>
      <c r="I381" s="33" t="str">
        <f>IF(Analysis!A293="","",Analysis!BK293)</f>
        <v/>
      </c>
    </row>
    <row r="382" spans="1:9" ht="14.25" customHeight="1" x14ac:dyDescent="0.25">
      <c r="A382" s="32" t="str">
        <f>IF(Analysis!A294="","",Analysis!A294)</f>
        <v/>
      </c>
      <c r="B382" s="33" t="str">
        <f>IF(Analysis!A294="","",Analysis!B294)</f>
        <v/>
      </c>
      <c r="C382" s="33" t="str">
        <f>IF(Analysis!A294="","",Analysis!C294)</f>
        <v/>
      </c>
      <c r="D382" s="33" t="str">
        <f>IF(Analysis!A294="","",Analysis!F294)</f>
        <v/>
      </c>
      <c r="E382" s="33" t="str">
        <f>IF(Analysis!A294="","",Analysis!BG294)</f>
        <v/>
      </c>
      <c r="F382" s="33" t="str">
        <f>IF(Analysis!A294="","",Analysis!AN294)</f>
        <v/>
      </c>
      <c r="G382" s="33" t="str">
        <f>IF(Analysis!A294="","",Analysis!BA294)</f>
        <v/>
      </c>
      <c r="H382" s="34" t="str">
        <f>IF(Analysis!A294="","",Analysis!BJ294)</f>
        <v/>
      </c>
      <c r="I382" s="33" t="str">
        <f>IF(Analysis!A294="","",Analysis!BK294)</f>
        <v/>
      </c>
    </row>
    <row r="383" spans="1:9" ht="14.25" customHeight="1" x14ac:dyDescent="0.25">
      <c r="A383" s="32" t="str">
        <f>IF(Analysis!A295="","",Analysis!A295)</f>
        <v/>
      </c>
      <c r="B383" s="33" t="str">
        <f>IF(Analysis!A295="","",Analysis!B295)</f>
        <v/>
      </c>
      <c r="C383" s="33" t="str">
        <f>IF(Analysis!A295="","",Analysis!C295)</f>
        <v/>
      </c>
      <c r="D383" s="33" t="str">
        <f>IF(Analysis!A295="","",Analysis!F295)</f>
        <v/>
      </c>
      <c r="E383" s="33" t="str">
        <f>IF(Analysis!A295="","",Analysis!BG295)</f>
        <v/>
      </c>
      <c r="F383" s="33" t="str">
        <f>IF(Analysis!A295="","",Analysis!AN295)</f>
        <v/>
      </c>
      <c r="G383" s="33" t="str">
        <f>IF(Analysis!A295="","",Analysis!BA295)</f>
        <v/>
      </c>
      <c r="H383" s="34" t="str">
        <f>IF(Analysis!A295="","",Analysis!BJ295)</f>
        <v/>
      </c>
      <c r="I383" s="33" t="str">
        <f>IF(Analysis!A295="","",Analysis!BK295)</f>
        <v/>
      </c>
    </row>
    <row r="384" spans="1:9" ht="14.25" customHeight="1" x14ac:dyDescent="0.25">
      <c r="A384" s="32" t="str">
        <f>IF(Analysis!A296="","",Analysis!A296)</f>
        <v/>
      </c>
      <c r="B384" s="33" t="str">
        <f>IF(Analysis!A296="","",Analysis!B296)</f>
        <v/>
      </c>
      <c r="C384" s="33" t="str">
        <f>IF(Analysis!A296="","",Analysis!C296)</f>
        <v/>
      </c>
      <c r="D384" s="33" t="str">
        <f>IF(Analysis!A296="","",Analysis!F296)</f>
        <v/>
      </c>
      <c r="E384" s="33" t="str">
        <f>IF(Analysis!A296="","",Analysis!BG296)</f>
        <v/>
      </c>
      <c r="F384" s="33" t="str">
        <f>IF(Analysis!A296="","",Analysis!AN296)</f>
        <v/>
      </c>
      <c r="G384" s="33" t="str">
        <f>IF(Analysis!A296="","",Analysis!BA296)</f>
        <v/>
      </c>
      <c r="H384" s="34" t="str">
        <f>IF(Analysis!A296="","",Analysis!BJ296)</f>
        <v/>
      </c>
      <c r="I384" s="33" t="str">
        <f>IF(Analysis!A296="","",Analysis!BK296)</f>
        <v/>
      </c>
    </row>
    <row r="385" spans="1:9" ht="14.25" customHeight="1" x14ac:dyDescent="0.25">
      <c r="A385" s="32" t="str">
        <f>IF(Analysis!A297="","",Analysis!A297)</f>
        <v/>
      </c>
      <c r="B385" s="33" t="str">
        <f>IF(Analysis!A297="","",Analysis!B297)</f>
        <v/>
      </c>
      <c r="C385" s="33" t="str">
        <f>IF(Analysis!A297="","",Analysis!C297)</f>
        <v/>
      </c>
      <c r="D385" s="33" t="str">
        <f>IF(Analysis!A297="","",Analysis!F297)</f>
        <v/>
      </c>
      <c r="E385" s="33" t="str">
        <f>IF(Analysis!A297="","",Analysis!BG297)</f>
        <v/>
      </c>
      <c r="F385" s="33" t="str">
        <f>IF(Analysis!A297="","",Analysis!AN297)</f>
        <v/>
      </c>
      <c r="G385" s="33" t="str">
        <f>IF(Analysis!A297="","",Analysis!BA297)</f>
        <v/>
      </c>
      <c r="H385" s="34" t="str">
        <f>IF(Analysis!A297="","",Analysis!BJ297)</f>
        <v/>
      </c>
      <c r="I385" s="33" t="str">
        <f>IF(Analysis!A297="","",Analysis!BK297)</f>
        <v/>
      </c>
    </row>
    <row r="386" spans="1:9" ht="14.25" customHeight="1" x14ac:dyDescent="0.25">
      <c r="A386" s="32" t="str">
        <f>IF(Analysis!A298="","",Analysis!A298)</f>
        <v/>
      </c>
      <c r="B386" s="33" t="str">
        <f>IF(Analysis!A298="","",Analysis!B298)</f>
        <v/>
      </c>
      <c r="C386" s="33" t="str">
        <f>IF(Analysis!A298="","",Analysis!C298)</f>
        <v/>
      </c>
      <c r="D386" s="33" t="str">
        <f>IF(Analysis!A298="","",Analysis!F298)</f>
        <v/>
      </c>
      <c r="E386" s="33" t="str">
        <f>IF(Analysis!A298="","",Analysis!BG298)</f>
        <v/>
      </c>
      <c r="F386" s="33" t="str">
        <f>IF(Analysis!A298="","",Analysis!AN298)</f>
        <v/>
      </c>
      <c r="G386" s="33" t="str">
        <f>IF(Analysis!A298="","",Analysis!BA298)</f>
        <v/>
      </c>
      <c r="H386" s="34" t="str">
        <f>IF(Analysis!A298="","",Analysis!BJ298)</f>
        <v/>
      </c>
      <c r="I386" s="33" t="str">
        <f>IF(Analysis!A298="","",Analysis!BK298)</f>
        <v/>
      </c>
    </row>
    <row r="387" spans="1:9" ht="14.25" customHeight="1" x14ac:dyDescent="0.25">
      <c r="A387" s="32" t="str">
        <f>IF(Analysis!A299="","",Analysis!A299)</f>
        <v/>
      </c>
      <c r="B387" s="33" t="str">
        <f>IF(Analysis!A299="","",Analysis!B299)</f>
        <v/>
      </c>
      <c r="C387" s="33" t="str">
        <f>IF(Analysis!A299="","",Analysis!C299)</f>
        <v/>
      </c>
      <c r="D387" s="33" t="str">
        <f>IF(Analysis!A299="","",Analysis!F299)</f>
        <v/>
      </c>
      <c r="E387" s="33" t="str">
        <f>IF(Analysis!A299="","",Analysis!BG299)</f>
        <v/>
      </c>
      <c r="F387" s="33" t="str">
        <f>IF(Analysis!A299="","",Analysis!AN299)</f>
        <v/>
      </c>
      <c r="G387" s="33" t="str">
        <f>IF(Analysis!A299="","",Analysis!BA299)</f>
        <v/>
      </c>
      <c r="H387" s="34" t="str">
        <f>IF(Analysis!A299="","",Analysis!BJ299)</f>
        <v/>
      </c>
      <c r="I387" s="33" t="str">
        <f>IF(Analysis!A299="","",Analysis!BK299)</f>
        <v/>
      </c>
    </row>
    <row r="388" spans="1:9" ht="14.25" customHeight="1" x14ac:dyDescent="0.25">
      <c r="A388" s="32" t="str">
        <f>IF(Analysis!A300="","",Analysis!A300)</f>
        <v/>
      </c>
      <c r="B388" s="33" t="str">
        <f>IF(Analysis!A300="","",Analysis!B300)</f>
        <v/>
      </c>
      <c r="C388" s="33" t="str">
        <f>IF(Analysis!A300="","",Analysis!C300)</f>
        <v/>
      </c>
      <c r="D388" s="33" t="str">
        <f>IF(Analysis!A300="","",Analysis!F300)</f>
        <v/>
      </c>
      <c r="E388" s="33" t="str">
        <f>IF(Analysis!A300="","",Analysis!BG300)</f>
        <v/>
      </c>
      <c r="F388" s="33" t="str">
        <f>IF(Analysis!A300="","",Analysis!AN300)</f>
        <v/>
      </c>
      <c r="G388" s="33" t="str">
        <f>IF(Analysis!A300="","",Analysis!BA300)</f>
        <v/>
      </c>
      <c r="H388" s="34" t="str">
        <f>IF(Analysis!A300="","",Analysis!BJ300)</f>
        <v/>
      </c>
      <c r="I388" s="33" t="str">
        <f>IF(Analysis!A300="","",Analysis!BK300)</f>
        <v/>
      </c>
    </row>
    <row r="389" spans="1:9" ht="14.25" customHeight="1" x14ac:dyDescent="0.25">
      <c r="A389" s="32" t="str">
        <f>IF(Analysis!A301="","",Analysis!A301)</f>
        <v/>
      </c>
      <c r="B389" s="33" t="str">
        <f>IF(Analysis!A301="","",Analysis!B301)</f>
        <v/>
      </c>
      <c r="C389" s="33" t="str">
        <f>IF(Analysis!A301="","",Analysis!C301)</f>
        <v/>
      </c>
      <c r="D389" s="33" t="str">
        <f>IF(Analysis!A301="","",Analysis!F301)</f>
        <v/>
      </c>
      <c r="E389" s="33" t="str">
        <f>IF(Analysis!A301="","",Analysis!BG301)</f>
        <v/>
      </c>
      <c r="F389" s="33" t="str">
        <f>IF(Analysis!A301="","",Analysis!AN301)</f>
        <v/>
      </c>
      <c r="G389" s="33" t="str">
        <f>IF(Analysis!A301="","",Analysis!BA301)</f>
        <v/>
      </c>
      <c r="H389" s="34" t="str">
        <f>IF(Analysis!A301="","",Analysis!BJ301)</f>
        <v/>
      </c>
      <c r="I389" s="33" t="str">
        <f>IF(Analysis!A301="","",Analysis!BK301)</f>
        <v/>
      </c>
    </row>
    <row r="390" spans="1:9" ht="14.25" customHeight="1" x14ac:dyDescent="0.25">
      <c r="A390" s="32" t="str">
        <f>IF(Analysis!A302="","",Analysis!A302)</f>
        <v/>
      </c>
      <c r="B390" s="33" t="str">
        <f>IF(Analysis!A302="","",Analysis!B302)</f>
        <v/>
      </c>
      <c r="C390" s="33" t="str">
        <f>IF(Analysis!A302="","",Analysis!C302)</f>
        <v/>
      </c>
      <c r="D390" s="33" t="str">
        <f>IF(Analysis!A302="","",Analysis!F302)</f>
        <v/>
      </c>
      <c r="E390" s="33" t="str">
        <f>IF(Analysis!A302="","",Analysis!BG302)</f>
        <v/>
      </c>
      <c r="F390" s="33" t="str">
        <f>IF(Analysis!A302="","",Analysis!AN302)</f>
        <v/>
      </c>
      <c r="G390" s="33" t="str">
        <f>IF(Analysis!A302="","",Analysis!BA302)</f>
        <v/>
      </c>
      <c r="H390" s="34" t="str">
        <f>IF(Analysis!A302="","",Analysis!BJ302)</f>
        <v/>
      </c>
      <c r="I390" s="33" t="str">
        <f>IF(Analysis!A302="","",Analysis!BK302)</f>
        <v/>
      </c>
    </row>
    <row r="391" spans="1:9" ht="14.25" customHeight="1" x14ac:dyDescent="0.25">
      <c r="A391" s="32" t="str">
        <f>IF(Analysis!A303="","",Analysis!A303)</f>
        <v/>
      </c>
      <c r="B391" s="33" t="str">
        <f>IF(Analysis!A303="","",Analysis!B303)</f>
        <v/>
      </c>
      <c r="C391" s="33" t="str">
        <f>IF(Analysis!A303="","",Analysis!C303)</f>
        <v/>
      </c>
      <c r="D391" s="33" t="str">
        <f>IF(Analysis!A303="","",Analysis!F303)</f>
        <v/>
      </c>
      <c r="E391" s="33" t="str">
        <f>IF(Analysis!A303="","",Analysis!BG303)</f>
        <v/>
      </c>
      <c r="F391" s="33" t="str">
        <f>IF(Analysis!A303="","",Analysis!AN303)</f>
        <v/>
      </c>
      <c r="G391" s="33" t="str">
        <f>IF(Analysis!A303="","",Analysis!BA303)</f>
        <v/>
      </c>
      <c r="H391" s="34" t="str">
        <f>IF(Analysis!A303="","",Analysis!BJ303)</f>
        <v/>
      </c>
      <c r="I391" s="33" t="str">
        <f>IF(Analysis!A303="","",Analysis!BK303)</f>
        <v/>
      </c>
    </row>
    <row r="392" spans="1:9" ht="14.25" customHeight="1" x14ac:dyDescent="0.25">
      <c r="A392" s="32" t="str">
        <f>IF(Analysis!A304="","",Analysis!A304)</f>
        <v/>
      </c>
      <c r="B392" s="33" t="str">
        <f>IF(Analysis!A304="","",Analysis!B304)</f>
        <v/>
      </c>
      <c r="C392" s="33" t="str">
        <f>IF(Analysis!A304="","",Analysis!C304)</f>
        <v/>
      </c>
      <c r="D392" s="33" t="str">
        <f>IF(Analysis!A304="","",Analysis!F304)</f>
        <v/>
      </c>
      <c r="E392" s="33" t="str">
        <f>IF(Analysis!A304="","",Analysis!BG304)</f>
        <v/>
      </c>
      <c r="F392" s="33" t="str">
        <f>IF(Analysis!A304="","",Analysis!AN304)</f>
        <v/>
      </c>
      <c r="G392" s="33" t="str">
        <f>IF(Analysis!A304="","",Analysis!BA304)</f>
        <v/>
      </c>
      <c r="H392" s="34" t="str">
        <f>IF(Analysis!A304="","",Analysis!BJ304)</f>
        <v/>
      </c>
      <c r="I392" s="33" t="str">
        <f>IF(Analysis!A304="","",Analysis!BK304)</f>
        <v/>
      </c>
    </row>
    <row r="393" spans="1:9" ht="14.25" customHeight="1" x14ac:dyDescent="0.25">
      <c r="A393" s="32" t="str">
        <f>IF(Analysis!A305="","",Analysis!A305)</f>
        <v/>
      </c>
      <c r="B393" s="33" t="str">
        <f>IF(Analysis!A305="","",Analysis!B305)</f>
        <v/>
      </c>
      <c r="C393" s="33" t="str">
        <f>IF(Analysis!A305="","",Analysis!C305)</f>
        <v/>
      </c>
      <c r="D393" s="33" t="str">
        <f>IF(Analysis!A305="","",Analysis!F305)</f>
        <v/>
      </c>
      <c r="E393" s="33" t="str">
        <f>IF(Analysis!A305="","",Analysis!BG305)</f>
        <v/>
      </c>
      <c r="F393" s="33" t="str">
        <f>IF(Analysis!A305="","",Analysis!AN305)</f>
        <v/>
      </c>
      <c r="G393" s="33" t="str">
        <f>IF(Analysis!A305="","",Analysis!BA305)</f>
        <v/>
      </c>
      <c r="H393" s="34" t="str">
        <f>IF(Analysis!A305="","",Analysis!BJ305)</f>
        <v/>
      </c>
      <c r="I393" s="33" t="str">
        <f>IF(Analysis!A305="","",Analysis!BK305)</f>
        <v/>
      </c>
    </row>
    <row r="394" spans="1:9" ht="14.25" customHeight="1" x14ac:dyDescent="0.25">
      <c r="A394" s="32" t="str">
        <f>IF(Analysis!A306="","",Analysis!A306)</f>
        <v/>
      </c>
      <c r="B394" s="33" t="str">
        <f>IF(Analysis!A306="","",Analysis!B306)</f>
        <v/>
      </c>
      <c r="C394" s="33" t="str">
        <f>IF(Analysis!A306="","",Analysis!C306)</f>
        <v/>
      </c>
      <c r="D394" s="33" t="str">
        <f>IF(Analysis!A306="","",Analysis!F306)</f>
        <v/>
      </c>
      <c r="E394" s="33" t="str">
        <f>IF(Analysis!A306="","",Analysis!BG306)</f>
        <v/>
      </c>
      <c r="F394" s="33" t="str">
        <f>IF(Analysis!A306="","",Analysis!AN306)</f>
        <v/>
      </c>
      <c r="G394" s="33" t="str">
        <f>IF(Analysis!A306="","",Analysis!BA306)</f>
        <v/>
      </c>
      <c r="H394" s="34" t="str">
        <f>IF(Analysis!A306="","",Analysis!BJ306)</f>
        <v/>
      </c>
      <c r="I394" s="33" t="str">
        <f>IF(Analysis!A306="","",Analysis!BK306)</f>
        <v/>
      </c>
    </row>
    <row r="395" spans="1:9" ht="14.25" customHeight="1" x14ac:dyDescent="0.25">
      <c r="A395" s="32" t="str">
        <f>IF(Analysis!A307="","",Analysis!A307)</f>
        <v/>
      </c>
      <c r="B395" s="33" t="str">
        <f>IF(Analysis!A307="","",Analysis!B307)</f>
        <v/>
      </c>
      <c r="C395" s="33" t="str">
        <f>IF(Analysis!A307="","",Analysis!C307)</f>
        <v/>
      </c>
      <c r="D395" s="33" t="str">
        <f>IF(Analysis!A307="","",Analysis!F307)</f>
        <v/>
      </c>
      <c r="E395" s="33" t="str">
        <f>IF(Analysis!A307="","",Analysis!BG307)</f>
        <v/>
      </c>
      <c r="F395" s="33" t="str">
        <f>IF(Analysis!A307="","",Analysis!AN307)</f>
        <v/>
      </c>
      <c r="G395" s="33" t="str">
        <f>IF(Analysis!A307="","",Analysis!BA307)</f>
        <v/>
      </c>
      <c r="H395" s="34" t="str">
        <f>IF(Analysis!A307="","",Analysis!BJ307)</f>
        <v/>
      </c>
      <c r="I395" s="33" t="str">
        <f>IF(Analysis!A307="","",Analysis!BK307)</f>
        <v/>
      </c>
    </row>
    <row r="396" spans="1:9" ht="14.25" customHeight="1" x14ac:dyDescent="0.25">
      <c r="A396" s="32" t="str">
        <f>IF(Analysis!A308="","",Analysis!A308)</f>
        <v/>
      </c>
      <c r="B396" s="33" t="str">
        <f>IF(Analysis!A308="","",Analysis!B308)</f>
        <v/>
      </c>
      <c r="C396" s="33" t="str">
        <f>IF(Analysis!A308="","",Analysis!C308)</f>
        <v/>
      </c>
      <c r="D396" s="33" t="str">
        <f>IF(Analysis!A308="","",Analysis!F308)</f>
        <v/>
      </c>
      <c r="E396" s="33" t="str">
        <f>IF(Analysis!A308="","",Analysis!BG308)</f>
        <v/>
      </c>
      <c r="F396" s="33" t="str">
        <f>IF(Analysis!A308="","",Analysis!AN308)</f>
        <v/>
      </c>
      <c r="G396" s="33" t="str">
        <f>IF(Analysis!A308="","",Analysis!BA308)</f>
        <v/>
      </c>
      <c r="H396" s="34" t="str">
        <f>IF(Analysis!A308="","",Analysis!BJ308)</f>
        <v/>
      </c>
      <c r="I396" s="33" t="str">
        <f>IF(Analysis!A308="","",Analysis!BK308)</f>
        <v/>
      </c>
    </row>
    <row r="397" spans="1:9" ht="14.25" customHeight="1" x14ac:dyDescent="0.25">
      <c r="A397" s="32" t="str">
        <f>IF(Analysis!A309="","",Analysis!A309)</f>
        <v/>
      </c>
      <c r="B397" s="33" t="str">
        <f>IF(Analysis!A309="","",Analysis!B309)</f>
        <v/>
      </c>
      <c r="C397" s="33" t="str">
        <f>IF(Analysis!A309="","",Analysis!C309)</f>
        <v/>
      </c>
      <c r="D397" s="33" t="str">
        <f>IF(Analysis!A309="","",Analysis!F309)</f>
        <v/>
      </c>
      <c r="E397" s="33" t="str">
        <f>IF(Analysis!A309="","",Analysis!BG309)</f>
        <v/>
      </c>
      <c r="F397" s="33" t="str">
        <f>IF(Analysis!A309="","",Analysis!AN309)</f>
        <v/>
      </c>
      <c r="G397" s="33" t="str">
        <f>IF(Analysis!A309="","",Analysis!BA309)</f>
        <v/>
      </c>
      <c r="H397" s="34" t="str">
        <f>IF(Analysis!A309="","",Analysis!BJ309)</f>
        <v/>
      </c>
      <c r="I397" s="33" t="str">
        <f>IF(Analysis!A309="","",Analysis!BK309)</f>
        <v/>
      </c>
    </row>
    <row r="398" spans="1:9" ht="14.25" customHeight="1" x14ac:dyDescent="0.25">
      <c r="A398" s="32" t="str">
        <f>IF(Analysis!A310="","",Analysis!A310)</f>
        <v/>
      </c>
      <c r="B398" s="33" t="str">
        <f>IF(Analysis!A310="","",Analysis!B310)</f>
        <v/>
      </c>
      <c r="C398" s="33" t="str">
        <f>IF(Analysis!A310="","",Analysis!C310)</f>
        <v/>
      </c>
      <c r="D398" s="33" t="str">
        <f>IF(Analysis!A310="","",Analysis!F310)</f>
        <v/>
      </c>
      <c r="E398" s="33" t="str">
        <f>IF(Analysis!A310="","",Analysis!BG310)</f>
        <v/>
      </c>
      <c r="F398" s="33" t="str">
        <f>IF(Analysis!A310="","",Analysis!AN310)</f>
        <v/>
      </c>
      <c r="G398" s="33" t="str">
        <f>IF(Analysis!A310="","",Analysis!BA310)</f>
        <v/>
      </c>
      <c r="H398" s="34" t="str">
        <f>IF(Analysis!A310="","",Analysis!BJ310)</f>
        <v/>
      </c>
      <c r="I398" s="33" t="str">
        <f>IF(Analysis!A310="","",Analysis!BK310)</f>
        <v/>
      </c>
    </row>
    <row r="399" spans="1:9" ht="14.25" customHeight="1" x14ac:dyDescent="0.25">
      <c r="A399" s="32" t="str">
        <f>IF(Analysis!A311="","",Analysis!A311)</f>
        <v/>
      </c>
      <c r="B399" s="33" t="str">
        <f>IF(Analysis!A311="","",Analysis!B311)</f>
        <v/>
      </c>
      <c r="C399" s="33" t="str">
        <f>IF(Analysis!A311="","",Analysis!C311)</f>
        <v/>
      </c>
      <c r="D399" s="33" t="str">
        <f>IF(Analysis!A311="","",Analysis!F311)</f>
        <v/>
      </c>
      <c r="E399" s="33" t="str">
        <f>IF(Analysis!A311="","",Analysis!BG311)</f>
        <v/>
      </c>
      <c r="F399" s="33" t="str">
        <f>IF(Analysis!A311="","",Analysis!AN311)</f>
        <v/>
      </c>
      <c r="G399" s="33" t="str">
        <f>IF(Analysis!A311="","",Analysis!BA311)</f>
        <v/>
      </c>
      <c r="H399" s="34" t="str">
        <f>IF(Analysis!A311="","",Analysis!BJ311)</f>
        <v/>
      </c>
      <c r="I399" s="33" t="str">
        <f>IF(Analysis!A311="","",Analysis!BK311)</f>
        <v/>
      </c>
    </row>
    <row r="400" spans="1:9" ht="14.25" customHeight="1" x14ac:dyDescent="0.25">
      <c r="A400" s="32" t="str">
        <f>IF(Analysis!A312="","",Analysis!A312)</f>
        <v/>
      </c>
      <c r="B400" s="33" t="str">
        <f>IF(Analysis!A312="","",Analysis!B312)</f>
        <v/>
      </c>
      <c r="C400" s="33" t="str">
        <f>IF(Analysis!A312="","",Analysis!C312)</f>
        <v/>
      </c>
      <c r="D400" s="33" t="str">
        <f>IF(Analysis!A312="","",Analysis!F312)</f>
        <v/>
      </c>
      <c r="E400" s="33" t="str">
        <f>IF(Analysis!A312="","",Analysis!BG312)</f>
        <v/>
      </c>
      <c r="F400" s="33" t="str">
        <f>IF(Analysis!A312="","",Analysis!AN312)</f>
        <v/>
      </c>
      <c r="G400" s="33" t="str">
        <f>IF(Analysis!A312="","",Analysis!BA312)</f>
        <v/>
      </c>
      <c r="H400" s="34" t="str">
        <f>IF(Analysis!A312="","",Analysis!BJ312)</f>
        <v/>
      </c>
      <c r="I400" s="33" t="str">
        <f>IF(Analysis!A312="","",Analysis!BK312)</f>
        <v/>
      </c>
    </row>
    <row r="401" spans="1:9" ht="14.25" customHeight="1" x14ac:dyDescent="0.25">
      <c r="A401" s="32" t="str">
        <f>IF(Analysis!A313="","",Analysis!A313)</f>
        <v/>
      </c>
      <c r="B401" s="33" t="str">
        <f>IF(Analysis!A313="","",Analysis!B313)</f>
        <v/>
      </c>
      <c r="C401" s="33" t="str">
        <f>IF(Analysis!A313="","",Analysis!C313)</f>
        <v/>
      </c>
      <c r="D401" s="33" t="str">
        <f>IF(Analysis!A313="","",Analysis!F313)</f>
        <v/>
      </c>
      <c r="E401" s="33" t="str">
        <f>IF(Analysis!A313="","",Analysis!BG313)</f>
        <v/>
      </c>
      <c r="F401" s="33" t="str">
        <f>IF(Analysis!A313="","",Analysis!AN313)</f>
        <v/>
      </c>
      <c r="G401" s="33" t="str">
        <f>IF(Analysis!A313="","",Analysis!BA313)</f>
        <v/>
      </c>
      <c r="H401" s="34" t="str">
        <f>IF(Analysis!A313="","",Analysis!BJ313)</f>
        <v/>
      </c>
      <c r="I401" s="33" t="str">
        <f>IF(Analysis!A313="","",Analysis!BK313)</f>
        <v/>
      </c>
    </row>
    <row r="402" spans="1:9" ht="14.25" customHeight="1" x14ac:dyDescent="0.25">
      <c r="A402" s="32" t="str">
        <f>IF(Analysis!A314="","",Analysis!A314)</f>
        <v/>
      </c>
      <c r="B402" s="33" t="str">
        <f>IF(Analysis!A314="","",Analysis!B314)</f>
        <v/>
      </c>
      <c r="C402" s="33" t="str">
        <f>IF(Analysis!A314="","",Analysis!C314)</f>
        <v/>
      </c>
      <c r="D402" s="33" t="str">
        <f>IF(Analysis!A314="","",Analysis!F314)</f>
        <v/>
      </c>
      <c r="E402" s="33" t="str">
        <f>IF(Analysis!A314="","",Analysis!BG314)</f>
        <v/>
      </c>
      <c r="F402" s="33" t="str">
        <f>IF(Analysis!A314="","",Analysis!AN314)</f>
        <v/>
      </c>
      <c r="G402" s="33" t="str">
        <f>IF(Analysis!A314="","",Analysis!BA314)</f>
        <v/>
      </c>
      <c r="H402" s="34" t="str">
        <f>IF(Analysis!A314="","",Analysis!BJ314)</f>
        <v/>
      </c>
      <c r="I402" s="33" t="str">
        <f>IF(Analysis!A314="","",Analysis!BK314)</f>
        <v/>
      </c>
    </row>
    <row r="403" spans="1:9" ht="14.25" customHeight="1" x14ac:dyDescent="0.25">
      <c r="A403" s="32" t="str">
        <f>IF(Analysis!A315="","",Analysis!A315)</f>
        <v/>
      </c>
      <c r="B403" s="33" t="str">
        <f>IF(Analysis!A315="","",Analysis!B315)</f>
        <v/>
      </c>
      <c r="C403" s="33" t="str">
        <f>IF(Analysis!A315="","",Analysis!C315)</f>
        <v/>
      </c>
      <c r="D403" s="33" t="str">
        <f>IF(Analysis!A315="","",Analysis!F315)</f>
        <v/>
      </c>
      <c r="E403" s="33" t="str">
        <f>IF(Analysis!A315="","",Analysis!BG315)</f>
        <v/>
      </c>
      <c r="F403" s="33" t="str">
        <f>IF(Analysis!A315="","",Analysis!AN315)</f>
        <v/>
      </c>
      <c r="G403" s="33" t="str">
        <f>IF(Analysis!A315="","",Analysis!BA315)</f>
        <v/>
      </c>
      <c r="H403" s="34" t="str">
        <f>IF(Analysis!A315="","",Analysis!BJ315)</f>
        <v/>
      </c>
      <c r="I403" s="33" t="str">
        <f>IF(Analysis!A315="","",Analysis!BK315)</f>
        <v/>
      </c>
    </row>
    <row r="404" spans="1:9" ht="14.25" customHeight="1" x14ac:dyDescent="0.25">
      <c r="A404" s="32" t="str">
        <f>IF(Analysis!A316="","",Analysis!A316)</f>
        <v/>
      </c>
      <c r="B404" s="33" t="str">
        <f>IF(Analysis!A316="","",Analysis!B316)</f>
        <v/>
      </c>
      <c r="C404" s="33" t="str">
        <f>IF(Analysis!A316="","",Analysis!C316)</f>
        <v/>
      </c>
      <c r="D404" s="33" t="str">
        <f>IF(Analysis!A316="","",Analysis!F316)</f>
        <v/>
      </c>
      <c r="E404" s="33" t="str">
        <f>IF(Analysis!A316="","",Analysis!BG316)</f>
        <v/>
      </c>
      <c r="F404" s="33" t="str">
        <f>IF(Analysis!A316="","",Analysis!AN316)</f>
        <v/>
      </c>
      <c r="G404" s="33" t="str">
        <f>IF(Analysis!A316="","",Analysis!BA316)</f>
        <v/>
      </c>
      <c r="H404" s="34" t="str">
        <f>IF(Analysis!A316="","",Analysis!BJ316)</f>
        <v/>
      </c>
      <c r="I404" s="33" t="str">
        <f>IF(Analysis!A316="","",Analysis!BK316)</f>
        <v/>
      </c>
    </row>
    <row r="405" spans="1:9" ht="14.25" customHeight="1" x14ac:dyDescent="0.25">
      <c r="A405" s="32" t="str">
        <f>IF(Analysis!A317="","",Analysis!A317)</f>
        <v/>
      </c>
      <c r="B405" s="33" t="str">
        <f>IF(Analysis!A317="","",Analysis!B317)</f>
        <v/>
      </c>
      <c r="C405" s="33" t="str">
        <f>IF(Analysis!A317="","",Analysis!C317)</f>
        <v/>
      </c>
      <c r="D405" s="33" t="str">
        <f>IF(Analysis!A317="","",Analysis!F317)</f>
        <v/>
      </c>
      <c r="E405" s="33" t="str">
        <f>IF(Analysis!A317="","",Analysis!BG317)</f>
        <v/>
      </c>
      <c r="F405" s="33" t="str">
        <f>IF(Analysis!A317="","",Analysis!AN317)</f>
        <v/>
      </c>
      <c r="G405" s="33" t="str">
        <f>IF(Analysis!A317="","",Analysis!BA317)</f>
        <v/>
      </c>
      <c r="H405" s="34" t="str">
        <f>IF(Analysis!A317="","",Analysis!BJ317)</f>
        <v/>
      </c>
      <c r="I405" s="33" t="str">
        <f>IF(Analysis!A317="","",Analysis!BK317)</f>
        <v/>
      </c>
    </row>
    <row r="406" spans="1:9" ht="14.25" customHeight="1" x14ac:dyDescent="0.25">
      <c r="A406" s="32" t="str">
        <f>IF(Analysis!A318="","",Analysis!A318)</f>
        <v/>
      </c>
      <c r="B406" s="33" t="str">
        <f>IF(Analysis!A318="","",Analysis!B318)</f>
        <v/>
      </c>
      <c r="C406" s="33" t="str">
        <f>IF(Analysis!A318="","",Analysis!C318)</f>
        <v/>
      </c>
      <c r="D406" s="33" t="str">
        <f>IF(Analysis!A318="","",Analysis!F318)</f>
        <v/>
      </c>
      <c r="E406" s="33" t="str">
        <f>IF(Analysis!A318="","",Analysis!BG318)</f>
        <v/>
      </c>
      <c r="F406" s="33" t="str">
        <f>IF(Analysis!A318="","",Analysis!AN318)</f>
        <v/>
      </c>
      <c r="G406" s="33" t="str">
        <f>IF(Analysis!A318="","",Analysis!BA318)</f>
        <v/>
      </c>
      <c r="H406" s="34" t="str">
        <f>IF(Analysis!A318="","",Analysis!BJ318)</f>
        <v/>
      </c>
      <c r="I406" s="33" t="str">
        <f>IF(Analysis!A318="","",Analysis!BK318)</f>
        <v/>
      </c>
    </row>
    <row r="407" spans="1:9" ht="14.25" customHeight="1" x14ac:dyDescent="0.25">
      <c r="A407" s="32" t="str">
        <f>IF(Analysis!A319="","",Analysis!A319)</f>
        <v/>
      </c>
      <c r="B407" s="33" t="str">
        <f>IF(Analysis!A319="","",Analysis!B319)</f>
        <v/>
      </c>
      <c r="C407" s="33" t="str">
        <f>IF(Analysis!A319="","",Analysis!C319)</f>
        <v/>
      </c>
      <c r="D407" s="33" t="str">
        <f>IF(Analysis!A319="","",Analysis!F319)</f>
        <v/>
      </c>
      <c r="E407" s="33" t="str">
        <f>IF(Analysis!A319="","",Analysis!BG319)</f>
        <v/>
      </c>
      <c r="F407" s="33" t="str">
        <f>IF(Analysis!A319="","",Analysis!AN319)</f>
        <v/>
      </c>
      <c r="G407" s="33" t="str">
        <f>IF(Analysis!A319="","",Analysis!BA319)</f>
        <v/>
      </c>
      <c r="H407" s="34" t="str">
        <f>IF(Analysis!A319="","",Analysis!BJ319)</f>
        <v/>
      </c>
      <c r="I407" s="33" t="str">
        <f>IF(Analysis!A319="","",Analysis!BK319)</f>
        <v/>
      </c>
    </row>
    <row r="408" spans="1:9" ht="14.25" customHeight="1" x14ac:dyDescent="0.25">
      <c r="A408" s="32" t="str">
        <f>IF(Analysis!A320="","",Analysis!A320)</f>
        <v/>
      </c>
      <c r="B408" s="33" t="str">
        <f>IF(Analysis!A320="","",Analysis!B320)</f>
        <v/>
      </c>
      <c r="C408" s="33" t="str">
        <f>IF(Analysis!A320="","",Analysis!C320)</f>
        <v/>
      </c>
      <c r="D408" s="33" t="str">
        <f>IF(Analysis!A320="","",Analysis!F320)</f>
        <v/>
      </c>
      <c r="E408" s="33" t="str">
        <f>IF(Analysis!A320="","",Analysis!BG320)</f>
        <v/>
      </c>
      <c r="F408" s="33" t="str">
        <f>IF(Analysis!A320="","",Analysis!AN320)</f>
        <v/>
      </c>
      <c r="G408" s="33" t="str">
        <f>IF(Analysis!A320="","",Analysis!BA320)</f>
        <v/>
      </c>
      <c r="H408" s="34" t="str">
        <f>IF(Analysis!A320="","",Analysis!BJ320)</f>
        <v/>
      </c>
      <c r="I408" s="33" t="str">
        <f>IF(Analysis!A320="","",Analysis!BK320)</f>
        <v/>
      </c>
    </row>
    <row r="409" spans="1:9" ht="14.25" customHeight="1" x14ac:dyDescent="0.25">
      <c r="A409" s="32" t="str">
        <f>IF(Analysis!A321="","",Analysis!A321)</f>
        <v/>
      </c>
      <c r="B409" s="33" t="str">
        <f>IF(Analysis!A321="","",Analysis!B321)</f>
        <v/>
      </c>
      <c r="C409" s="33" t="str">
        <f>IF(Analysis!A321="","",Analysis!C321)</f>
        <v/>
      </c>
      <c r="D409" s="33" t="str">
        <f>IF(Analysis!A321="","",Analysis!F321)</f>
        <v/>
      </c>
      <c r="E409" s="33" t="str">
        <f>IF(Analysis!A321="","",Analysis!BG321)</f>
        <v/>
      </c>
      <c r="F409" s="33" t="str">
        <f>IF(Analysis!A321="","",Analysis!AN321)</f>
        <v/>
      </c>
      <c r="G409" s="33" t="str">
        <f>IF(Analysis!A321="","",Analysis!BA321)</f>
        <v/>
      </c>
      <c r="H409" s="34" t="str">
        <f>IF(Analysis!A321="","",Analysis!BJ321)</f>
        <v/>
      </c>
      <c r="I409" s="33" t="str">
        <f>IF(Analysis!A321="","",Analysis!BK321)</f>
        <v/>
      </c>
    </row>
    <row r="410" spans="1:9" ht="14.25" customHeight="1" x14ac:dyDescent="0.25">
      <c r="A410" s="32" t="str">
        <f>IF(Analysis!A322="","",Analysis!A322)</f>
        <v/>
      </c>
      <c r="B410" s="33" t="str">
        <f>IF(Analysis!A322="","",Analysis!B322)</f>
        <v/>
      </c>
      <c r="C410" s="33" t="str">
        <f>IF(Analysis!A322="","",Analysis!C322)</f>
        <v/>
      </c>
      <c r="D410" s="33" t="str">
        <f>IF(Analysis!A322="","",Analysis!F322)</f>
        <v/>
      </c>
      <c r="E410" s="33" t="str">
        <f>IF(Analysis!A322="","",Analysis!BG322)</f>
        <v/>
      </c>
      <c r="F410" s="33" t="str">
        <f>IF(Analysis!A322="","",Analysis!AN322)</f>
        <v/>
      </c>
      <c r="G410" s="33" t="str">
        <f>IF(Analysis!A322="","",Analysis!BA322)</f>
        <v/>
      </c>
      <c r="H410" s="34" t="str">
        <f>IF(Analysis!A322="","",Analysis!BJ322)</f>
        <v/>
      </c>
      <c r="I410" s="33" t="str">
        <f>IF(Analysis!A322="","",Analysis!BK322)</f>
        <v/>
      </c>
    </row>
    <row r="411" spans="1:9" ht="14.25" customHeight="1" x14ac:dyDescent="0.25">
      <c r="A411" s="32" t="str">
        <f>IF(Analysis!A323="","",Analysis!A323)</f>
        <v/>
      </c>
      <c r="B411" s="33" t="str">
        <f>IF(Analysis!A323="","",Analysis!B323)</f>
        <v/>
      </c>
      <c r="C411" s="33" t="str">
        <f>IF(Analysis!A323="","",Analysis!C323)</f>
        <v/>
      </c>
      <c r="D411" s="33" t="str">
        <f>IF(Analysis!A323="","",Analysis!F323)</f>
        <v/>
      </c>
      <c r="E411" s="33" t="str">
        <f>IF(Analysis!A323="","",Analysis!BG323)</f>
        <v/>
      </c>
      <c r="F411" s="33" t="str">
        <f>IF(Analysis!A323="","",Analysis!AN323)</f>
        <v/>
      </c>
      <c r="G411" s="33" t="str">
        <f>IF(Analysis!A323="","",Analysis!BA323)</f>
        <v/>
      </c>
      <c r="H411" s="34" t="str">
        <f>IF(Analysis!A323="","",Analysis!BJ323)</f>
        <v/>
      </c>
      <c r="I411" s="33" t="str">
        <f>IF(Analysis!A323="","",Analysis!BK323)</f>
        <v/>
      </c>
    </row>
    <row r="412" spans="1:9" ht="14.25" customHeight="1" x14ac:dyDescent="0.25">
      <c r="A412" s="32" t="str">
        <f>IF(Analysis!A324="","",Analysis!A324)</f>
        <v/>
      </c>
      <c r="B412" s="33" t="str">
        <f>IF(Analysis!A324="","",Analysis!B324)</f>
        <v/>
      </c>
      <c r="C412" s="33" t="str">
        <f>IF(Analysis!A324="","",Analysis!C324)</f>
        <v/>
      </c>
      <c r="D412" s="33" t="str">
        <f>IF(Analysis!A324="","",Analysis!F324)</f>
        <v/>
      </c>
      <c r="E412" s="33" t="str">
        <f>IF(Analysis!A324="","",Analysis!BG324)</f>
        <v/>
      </c>
      <c r="F412" s="33" t="str">
        <f>IF(Analysis!A324="","",Analysis!AN324)</f>
        <v/>
      </c>
      <c r="G412" s="33" t="str">
        <f>IF(Analysis!A324="","",Analysis!BA324)</f>
        <v/>
      </c>
      <c r="H412" s="34" t="str">
        <f>IF(Analysis!A324="","",Analysis!BJ324)</f>
        <v/>
      </c>
      <c r="I412" s="33" t="str">
        <f>IF(Analysis!A324="","",Analysis!BK324)</f>
        <v/>
      </c>
    </row>
    <row r="413" spans="1:9" ht="14.25" customHeight="1" x14ac:dyDescent="0.25">
      <c r="A413" s="32" t="str">
        <f>IF(Analysis!A325="","",Analysis!A325)</f>
        <v/>
      </c>
      <c r="B413" s="33" t="str">
        <f>IF(Analysis!A325="","",Analysis!B325)</f>
        <v/>
      </c>
      <c r="C413" s="33" t="str">
        <f>IF(Analysis!A325="","",Analysis!C325)</f>
        <v/>
      </c>
      <c r="D413" s="33" t="str">
        <f>IF(Analysis!A325="","",Analysis!F325)</f>
        <v/>
      </c>
      <c r="E413" s="33" t="str">
        <f>IF(Analysis!A325="","",Analysis!BG325)</f>
        <v/>
      </c>
      <c r="F413" s="33" t="str">
        <f>IF(Analysis!A325="","",Analysis!AN325)</f>
        <v/>
      </c>
      <c r="G413" s="33" t="str">
        <f>IF(Analysis!A325="","",Analysis!BA325)</f>
        <v/>
      </c>
      <c r="H413" s="34" t="str">
        <f>IF(Analysis!A325="","",Analysis!BJ325)</f>
        <v/>
      </c>
      <c r="I413" s="33" t="str">
        <f>IF(Analysis!A325="","",Analysis!BK325)</f>
        <v/>
      </c>
    </row>
    <row r="414" spans="1:9" ht="14.25" customHeight="1" x14ac:dyDescent="0.25">
      <c r="A414" s="32" t="str">
        <f>IF(Analysis!A326="","",Analysis!A326)</f>
        <v/>
      </c>
      <c r="B414" s="33" t="str">
        <f>IF(Analysis!A326="","",Analysis!B326)</f>
        <v/>
      </c>
      <c r="C414" s="33" t="str">
        <f>IF(Analysis!A326="","",Analysis!C326)</f>
        <v/>
      </c>
      <c r="D414" s="33" t="str">
        <f>IF(Analysis!A326="","",Analysis!F326)</f>
        <v/>
      </c>
      <c r="E414" s="33" t="str">
        <f>IF(Analysis!A326="","",Analysis!BG326)</f>
        <v/>
      </c>
      <c r="F414" s="33" t="str">
        <f>IF(Analysis!A326="","",Analysis!AN326)</f>
        <v/>
      </c>
      <c r="G414" s="33" t="str">
        <f>IF(Analysis!A326="","",Analysis!BA326)</f>
        <v/>
      </c>
      <c r="H414" s="34" t="str">
        <f>IF(Analysis!A326="","",Analysis!BJ326)</f>
        <v/>
      </c>
      <c r="I414" s="33" t="str">
        <f>IF(Analysis!A326="","",Analysis!BK326)</f>
        <v/>
      </c>
    </row>
    <row r="415" spans="1:9" ht="14.25" customHeight="1" x14ac:dyDescent="0.25">
      <c r="A415" s="32" t="str">
        <f>IF(Analysis!A327="","",Analysis!A327)</f>
        <v/>
      </c>
      <c r="B415" s="33" t="str">
        <f>IF(Analysis!A327="","",Analysis!B327)</f>
        <v/>
      </c>
      <c r="C415" s="33" t="str">
        <f>IF(Analysis!A327="","",Analysis!C327)</f>
        <v/>
      </c>
      <c r="D415" s="33" t="str">
        <f>IF(Analysis!A327="","",Analysis!F327)</f>
        <v/>
      </c>
      <c r="E415" s="33" t="str">
        <f>IF(Analysis!A327="","",Analysis!BG327)</f>
        <v/>
      </c>
      <c r="F415" s="33" t="str">
        <f>IF(Analysis!A327="","",Analysis!AN327)</f>
        <v/>
      </c>
      <c r="G415" s="33" t="str">
        <f>IF(Analysis!A327="","",Analysis!BA327)</f>
        <v/>
      </c>
      <c r="H415" s="34" t="str">
        <f>IF(Analysis!A327="","",Analysis!BJ327)</f>
        <v/>
      </c>
      <c r="I415" s="33" t="str">
        <f>IF(Analysis!A327="","",Analysis!BK327)</f>
        <v/>
      </c>
    </row>
    <row r="416" spans="1:9" ht="14.25" customHeight="1" x14ac:dyDescent="0.25">
      <c r="A416" s="32" t="str">
        <f>IF(Analysis!A328="","",Analysis!A328)</f>
        <v/>
      </c>
      <c r="B416" s="33" t="str">
        <f>IF(Analysis!A328="","",Analysis!B328)</f>
        <v/>
      </c>
      <c r="C416" s="33" t="str">
        <f>IF(Analysis!A328="","",Analysis!C328)</f>
        <v/>
      </c>
      <c r="D416" s="33" t="str">
        <f>IF(Analysis!A328="","",Analysis!F328)</f>
        <v/>
      </c>
      <c r="E416" s="33" t="str">
        <f>IF(Analysis!A328="","",Analysis!BG328)</f>
        <v/>
      </c>
      <c r="F416" s="33" t="str">
        <f>IF(Analysis!A328="","",Analysis!AN328)</f>
        <v/>
      </c>
      <c r="G416" s="33" t="str">
        <f>IF(Analysis!A328="","",Analysis!BA328)</f>
        <v/>
      </c>
      <c r="H416" s="34" t="str">
        <f>IF(Analysis!A328="","",Analysis!BJ328)</f>
        <v/>
      </c>
      <c r="I416" s="33" t="str">
        <f>IF(Analysis!A328="","",Analysis!BK328)</f>
        <v/>
      </c>
    </row>
    <row r="417" spans="1:9" ht="14.25" customHeight="1" x14ac:dyDescent="0.25">
      <c r="A417" s="32" t="str">
        <f>IF(Analysis!A329="","",Analysis!A329)</f>
        <v/>
      </c>
      <c r="B417" s="33" t="str">
        <f>IF(Analysis!A329="","",Analysis!B329)</f>
        <v/>
      </c>
      <c r="C417" s="33" t="str">
        <f>IF(Analysis!A329="","",Analysis!C329)</f>
        <v/>
      </c>
      <c r="D417" s="33" t="str">
        <f>IF(Analysis!A329="","",Analysis!F329)</f>
        <v/>
      </c>
      <c r="E417" s="33" t="str">
        <f>IF(Analysis!A329="","",Analysis!BG329)</f>
        <v/>
      </c>
      <c r="F417" s="33" t="str">
        <f>IF(Analysis!A329="","",Analysis!AN329)</f>
        <v/>
      </c>
      <c r="G417" s="33" t="str">
        <f>IF(Analysis!A329="","",Analysis!BA329)</f>
        <v/>
      </c>
      <c r="H417" s="34" t="str">
        <f>IF(Analysis!A329="","",Analysis!BJ329)</f>
        <v/>
      </c>
      <c r="I417" s="33" t="str">
        <f>IF(Analysis!A329="","",Analysis!BK329)</f>
        <v/>
      </c>
    </row>
    <row r="418" spans="1:9" ht="14.25" customHeight="1" x14ac:dyDescent="0.25">
      <c r="A418" s="32" t="str">
        <f>IF(Analysis!A330="","",Analysis!A330)</f>
        <v/>
      </c>
      <c r="B418" s="33" t="str">
        <f>IF(Analysis!A330="","",Analysis!B330)</f>
        <v/>
      </c>
      <c r="C418" s="33" t="str">
        <f>IF(Analysis!A330="","",Analysis!C330)</f>
        <v/>
      </c>
      <c r="D418" s="33" t="str">
        <f>IF(Analysis!A330="","",Analysis!F330)</f>
        <v/>
      </c>
      <c r="E418" s="33" t="str">
        <f>IF(Analysis!A330="","",Analysis!BG330)</f>
        <v/>
      </c>
      <c r="F418" s="33" t="str">
        <f>IF(Analysis!A330="","",Analysis!AN330)</f>
        <v/>
      </c>
      <c r="G418" s="33" t="str">
        <f>IF(Analysis!A330="","",Analysis!BA330)</f>
        <v/>
      </c>
      <c r="H418" s="34" t="str">
        <f>IF(Analysis!A330="","",Analysis!BJ330)</f>
        <v/>
      </c>
      <c r="I418" s="33" t="str">
        <f>IF(Analysis!A330="","",Analysis!BK330)</f>
        <v/>
      </c>
    </row>
    <row r="419" spans="1:9" ht="14.25" customHeight="1" x14ac:dyDescent="0.25">
      <c r="A419" s="32" t="str">
        <f>IF(Analysis!A331="","",Analysis!A331)</f>
        <v/>
      </c>
      <c r="B419" s="33" t="str">
        <f>IF(Analysis!A331="","",Analysis!B331)</f>
        <v/>
      </c>
      <c r="C419" s="33" t="str">
        <f>IF(Analysis!A331="","",Analysis!C331)</f>
        <v/>
      </c>
      <c r="D419" s="33" t="str">
        <f>IF(Analysis!A331="","",Analysis!F331)</f>
        <v/>
      </c>
      <c r="E419" s="33" t="str">
        <f>IF(Analysis!A331="","",Analysis!BG331)</f>
        <v/>
      </c>
      <c r="F419" s="33" t="str">
        <f>IF(Analysis!A331="","",Analysis!AN331)</f>
        <v/>
      </c>
      <c r="G419" s="33" t="str">
        <f>IF(Analysis!A331="","",Analysis!BA331)</f>
        <v/>
      </c>
      <c r="H419" s="34" t="str">
        <f>IF(Analysis!A331="","",Analysis!BJ331)</f>
        <v/>
      </c>
      <c r="I419" s="33" t="str">
        <f>IF(Analysis!A331="","",Analysis!BK331)</f>
        <v/>
      </c>
    </row>
    <row r="420" spans="1:9" ht="14.25" customHeight="1" x14ac:dyDescent="0.25">
      <c r="A420" s="32" t="str">
        <f>IF(Analysis!A332="","",Analysis!A332)</f>
        <v/>
      </c>
      <c r="B420" s="33" t="str">
        <f>IF(Analysis!A332="","",Analysis!B332)</f>
        <v/>
      </c>
      <c r="C420" s="33" t="str">
        <f>IF(Analysis!A332="","",Analysis!C332)</f>
        <v/>
      </c>
      <c r="D420" s="33" t="str">
        <f>IF(Analysis!A332="","",Analysis!F332)</f>
        <v/>
      </c>
      <c r="E420" s="33" t="str">
        <f>IF(Analysis!A332="","",Analysis!BG332)</f>
        <v/>
      </c>
      <c r="F420" s="33" t="str">
        <f>IF(Analysis!A332="","",Analysis!AN332)</f>
        <v/>
      </c>
      <c r="G420" s="33" t="str">
        <f>IF(Analysis!A332="","",Analysis!BA332)</f>
        <v/>
      </c>
      <c r="H420" s="34" t="str">
        <f>IF(Analysis!A332="","",Analysis!BJ332)</f>
        <v/>
      </c>
      <c r="I420" s="33" t="str">
        <f>IF(Analysis!A332="","",Analysis!BK332)</f>
        <v/>
      </c>
    </row>
    <row r="421" spans="1:9" ht="14.25" customHeight="1" x14ac:dyDescent="0.25">
      <c r="A421" s="32" t="str">
        <f>IF(Analysis!A333="","",Analysis!A333)</f>
        <v/>
      </c>
      <c r="B421" s="33" t="str">
        <f>IF(Analysis!A333="","",Analysis!B333)</f>
        <v/>
      </c>
      <c r="C421" s="33" t="str">
        <f>IF(Analysis!A333="","",Analysis!C333)</f>
        <v/>
      </c>
      <c r="D421" s="33" t="str">
        <f>IF(Analysis!A333="","",Analysis!F333)</f>
        <v/>
      </c>
      <c r="E421" s="33" t="str">
        <f>IF(Analysis!A333="","",Analysis!BG333)</f>
        <v/>
      </c>
      <c r="F421" s="33" t="str">
        <f>IF(Analysis!A333="","",Analysis!AN333)</f>
        <v/>
      </c>
      <c r="G421" s="33" t="str">
        <f>IF(Analysis!A333="","",Analysis!BA333)</f>
        <v/>
      </c>
      <c r="H421" s="34" t="str">
        <f>IF(Analysis!A333="","",Analysis!BJ333)</f>
        <v/>
      </c>
      <c r="I421" s="33" t="str">
        <f>IF(Analysis!A333="","",Analysis!BK333)</f>
        <v/>
      </c>
    </row>
    <row r="422" spans="1:9" ht="14.25" customHeight="1" x14ac:dyDescent="0.25">
      <c r="A422" s="32" t="str">
        <f>IF(Analysis!A334="","",Analysis!A334)</f>
        <v/>
      </c>
      <c r="B422" s="33" t="str">
        <f>IF(Analysis!A334="","",Analysis!B334)</f>
        <v/>
      </c>
      <c r="C422" s="33" t="str">
        <f>IF(Analysis!A334="","",Analysis!C334)</f>
        <v/>
      </c>
      <c r="D422" s="33" t="str">
        <f>IF(Analysis!A334="","",Analysis!F334)</f>
        <v/>
      </c>
      <c r="E422" s="33" t="str">
        <f>IF(Analysis!A334="","",Analysis!BG334)</f>
        <v/>
      </c>
      <c r="F422" s="33" t="str">
        <f>IF(Analysis!A334="","",Analysis!AN334)</f>
        <v/>
      </c>
      <c r="G422" s="33" t="str">
        <f>IF(Analysis!A334="","",Analysis!BA334)</f>
        <v/>
      </c>
      <c r="H422" s="34" t="str">
        <f>IF(Analysis!A334="","",Analysis!BJ334)</f>
        <v/>
      </c>
      <c r="I422" s="33" t="str">
        <f>IF(Analysis!A334="","",Analysis!BK334)</f>
        <v/>
      </c>
    </row>
    <row r="423" spans="1:9" ht="14.25" customHeight="1" x14ac:dyDescent="0.25">
      <c r="A423" s="32" t="str">
        <f>IF(Analysis!A335="","",Analysis!A335)</f>
        <v/>
      </c>
      <c r="B423" s="33" t="str">
        <f>IF(Analysis!A335="","",Analysis!B335)</f>
        <v/>
      </c>
      <c r="C423" s="33" t="str">
        <f>IF(Analysis!A335="","",Analysis!C335)</f>
        <v/>
      </c>
      <c r="D423" s="33" t="str">
        <f>IF(Analysis!A335="","",Analysis!F335)</f>
        <v/>
      </c>
      <c r="E423" s="33" t="str">
        <f>IF(Analysis!A335="","",Analysis!BG335)</f>
        <v/>
      </c>
      <c r="F423" s="33" t="str">
        <f>IF(Analysis!A335="","",Analysis!AN335)</f>
        <v/>
      </c>
      <c r="G423" s="33" t="str">
        <f>IF(Analysis!A335="","",Analysis!BA335)</f>
        <v/>
      </c>
      <c r="H423" s="34" t="str">
        <f>IF(Analysis!A335="","",Analysis!BJ335)</f>
        <v/>
      </c>
      <c r="I423" s="33" t="str">
        <f>IF(Analysis!A335="","",Analysis!BK335)</f>
        <v/>
      </c>
    </row>
    <row r="424" spans="1:9" ht="14.25" customHeight="1" x14ac:dyDescent="0.25">
      <c r="A424" s="32" t="str">
        <f>IF(Analysis!A336="","",Analysis!A336)</f>
        <v/>
      </c>
      <c r="B424" s="33" t="str">
        <f>IF(Analysis!A336="","",Analysis!B336)</f>
        <v/>
      </c>
      <c r="C424" s="33" t="str">
        <f>IF(Analysis!A336="","",Analysis!C336)</f>
        <v/>
      </c>
      <c r="D424" s="33" t="str">
        <f>IF(Analysis!A336="","",Analysis!F336)</f>
        <v/>
      </c>
      <c r="E424" s="33" t="str">
        <f>IF(Analysis!A336="","",Analysis!BG336)</f>
        <v/>
      </c>
      <c r="F424" s="33" t="str">
        <f>IF(Analysis!A336="","",Analysis!AN336)</f>
        <v/>
      </c>
      <c r="G424" s="33" t="str">
        <f>IF(Analysis!A336="","",Analysis!BA336)</f>
        <v/>
      </c>
      <c r="H424" s="34" t="str">
        <f>IF(Analysis!A336="","",Analysis!BJ336)</f>
        <v/>
      </c>
      <c r="I424" s="33" t="str">
        <f>IF(Analysis!A336="","",Analysis!BK336)</f>
        <v/>
      </c>
    </row>
    <row r="425" spans="1:9" ht="14.25" customHeight="1" x14ac:dyDescent="0.25">
      <c r="A425" s="32" t="str">
        <f>IF(Analysis!A337="","",Analysis!A337)</f>
        <v/>
      </c>
      <c r="B425" s="33" t="str">
        <f>IF(Analysis!A337="","",Analysis!B337)</f>
        <v/>
      </c>
      <c r="C425" s="33" t="str">
        <f>IF(Analysis!A337="","",Analysis!C337)</f>
        <v/>
      </c>
      <c r="D425" s="33" t="str">
        <f>IF(Analysis!A337="","",Analysis!F337)</f>
        <v/>
      </c>
      <c r="E425" s="33" t="str">
        <f>IF(Analysis!A337="","",Analysis!BG337)</f>
        <v/>
      </c>
      <c r="F425" s="33" t="str">
        <f>IF(Analysis!A337="","",Analysis!AN337)</f>
        <v/>
      </c>
      <c r="G425" s="33" t="str">
        <f>IF(Analysis!A337="","",Analysis!BA337)</f>
        <v/>
      </c>
      <c r="H425" s="34" t="str">
        <f>IF(Analysis!A337="","",Analysis!BJ337)</f>
        <v/>
      </c>
      <c r="I425" s="33" t="str">
        <f>IF(Analysis!A337="","",Analysis!BK337)</f>
        <v/>
      </c>
    </row>
    <row r="426" spans="1:9" ht="14.25" customHeight="1" x14ac:dyDescent="0.25">
      <c r="A426" s="32" t="str">
        <f>IF(Analysis!A338="","",Analysis!A338)</f>
        <v/>
      </c>
      <c r="B426" s="33" t="str">
        <f>IF(Analysis!A338="","",Analysis!B338)</f>
        <v/>
      </c>
      <c r="C426" s="33" t="str">
        <f>IF(Analysis!A338="","",Analysis!C338)</f>
        <v/>
      </c>
      <c r="D426" s="33" t="str">
        <f>IF(Analysis!A338="","",Analysis!F338)</f>
        <v/>
      </c>
      <c r="E426" s="33" t="str">
        <f>IF(Analysis!A338="","",Analysis!BG338)</f>
        <v/>
      </c>
      <c r="F426" s="33" t="str">
        <f>IF(Analysis!A338="","",Analysis!AN338)</f>
        <v/>
      </c>
      <c r="G426" s="33" t="str">
        <f>IF(Analysis!A338="","",Analysis!BA338)</f>
        <v/>
      </c>
      <c r="H426" s="34" t="str">
        <f>IF(Analysis!A338="","",Analysis!BJ338)</f>
        <v/>
      </c>
      <c r="I426" s="33" t="str">
        <f>IF(Analysis!A338="","",Analysis!BK338)</f>
        <v/>
      </c>
    </row>
    <row r="427" spans="1:9" ht="14.25" customHeight="1" x14ac:dyDescent="0.25">
      <c r="A427" s="32" t="str">
        <f>IF(Analysis!A339="","",Analysis!A339)</f>
        <v/>
      </c>
      <c r="B427" s="33" t="str">
        <f>IF(Analysis!A339="","",Analysis!B339)</f>
        <v/>
      </c>
      <c r="C427" s="33" t="str">
        <f>IF(Analysis!A339="","",Analysis!C339)</f>
        <v/>
      </c>
      <c r="D427" s="33" t="str">
        <f>IF(Analysis!A339="","",Analysis!F339)</f>
        <v/>
      </c>
      <c r="E427" s="33" t="str">
        <f>IF(Analysis!A339="","",Analysis!BG339)</f>
        <v/>
      </c>
      <c r="F427" s="33" t="str">
        <f>IF(Analysis!A339="","",Analysis!AN339)</f>
        <v/>
      </c>
      <c r="G427" s="33" t="str">
        <f>IF(Analysis!A339="","",Analysis!BA339)</f>
        <v/>
      </c>
      <c r="H427" s="34" t="str">
        <f>IF(Analysis!A339="","",Analysis!BJ339)</f>
        <v/>
      </c>
      <c r="I427" s="33" t="str">
        <f>IF(Analysis!A339="","",Analysis!BK339)</f>
        <v/>
      </c>
    </row>
    <row r="428" spans="1:9" ht="14.25" customHeight="1" x14ac:dyDescent="0.25">
      <c r="A428" s="32" t="str">
        <f>IF(Analysis!A340="","",Analysis!A340)</f>
        <v/>
      </c>
      <c r="B428" s="33" t="str">
        <f>IF(Analysis!A340="","",Analysis!B340)</f>
        <v/>
      </c>
      <c r="C428" s="33" t="str">
        <f>IF(Analysis!A340="","",Analysis!C340)</f>
        <v/>
      </c>
      <c r="D428" s="33" t="str">
        <f>IF(Analysis!A340="","",Analysis!F340)</f>
        <v/>
      </c>
      <c r="E428" s="33" t="str">
        <f>IF(Analysis!A340="","",Analysis!BG340)</f>
        <v/>
      </c>
      <c r="F428" s="33" t="str">
        <f>IF(Analysis!A340="","",Analysis!AN340)</f>
        <v/>
      </c>
      <c r="G428" s="33" t="str">
        <f>IF(Analysis!A340="","",Analysis!BA340)</f>
        <v/>
      </c>
      <c r="H428" s="34" t="str">
        <f>IF(Analysis!A340="","",Analysis!BJ340)</f>
        <v/>
      </c>
      <c r="I428" s="33" t="str">
        <f>IF(Analysis!A340="","",Analysis!BK340)</f>
        <v/>
      </c>
    </row>
    <row r="429" spans="1:9" ht="14.25" customHeight="1" x14ac:dyDescent="0.25">
      <c r="A429" s="32" t="str">
        <f>IF(Analysis!A341="","",Analysis!A341)</f>
        <v/>
      </c>
      <c r="B429" s="33" t="str">
        <f>IF(Analysis!A341="","",Analysis!B341)</f>
        <v/>
      </c>
      <c r="C429" s="33" t="str">
        <f>IF(Analysis!A341="","",Analysis!C341)</f>
        <v/>
      </c>
      <c r="D429" s="33" t="str">
        <f>IF(Analysis!A341="","",Analysis!F341)</f>
        <v/>
      </c>
      <c r="E429" s="33" t="str">
        <f>IF(Analysis!A341="","",Analysis!BG341)</f>
        <v/>
      </c>
      <c r="F429" s="33" t="str">
        <f>IF(Analysis!A341="","",Analysis!AN341)</f>
        <v/>
      </c>
      <c r="G429" s="33" t="str">
        <f>IF(Analysis!A341="","",Analysis!BA341)</f>
        <v/>
      </c>
      <c r="H429" s="34" t="str">
        <f>IF(Analysis!A341="","",Analysis!BJ341)</f>
        <v/>
      </c>
      <c r="I429" s="33" t="str">
        <f>IF(Analysis!A341="","",Analysis!BK341)</f>
        <v/>
      </c>
    </row>
    <row r="430" spans="1:9" ht="14.25" customHeight="1" x14ac:dyDescent="0.25">
      <c r="A430" s="32" t="str">
        <f>IF(Analysis!A342="","",Analysis!A342)</f>
        <v/>
      </c>
      <c r="B430" s="33" t="str">
        <f>IF(Analysis!A342="","",Analysis!B342)</f>
        <v/>
      </c>
      <c r="C430" s="33" t="str">
        <f>IF(Analysis!A342="","",Analysis!C342)</f>
        <v/>
      </c>
      <c r="D430" s="33" t="str">
        <f>IF(Analysis!A342="","",Analysis!F342)</f>
        <v/>
      </c>
      <c r="E430" s="33" t="str">
        <f>IF(Analysis!A342="","",Analysis!BG342)</f>
        <v/>
      </c>
      <c r="F430" s="33" t="str">
        <f>IF(Analysis!A342="","",Analysis!AN342)</f>
        <v/>
      </c>
      <c r="G430" s="33" t="str">
        <f>IF(Analysis!A342="","",Analysis!BA342)</f>
        <v/>
      </c>
      <c r="H430" s="34" t="str">
        <f>IF(Analysis!A342="","",Analysis!BJ342)</f>
        <v/>
      </c>
      <c r="I430" s="33" t="str">
        <f>IF(Analysis!A342="","",Analysis!BK342)</f>
        <v/>
      </c>
    </row>
    <row r="431" spans="1:9" ht="14.25" customHeight="1" x14ac:dyDescent="0.25">
      <c r="A431" s="32" t="str">
        <f>IF(Analysis!A343="","",Analysis!A343)</f>
        <v/>
      </c>
      <c r="B431" s="33" t="str">
        <f>IF(Analysis!A343="","",Analysis!B343)</f>
        <v/>
      </c>
      <c r="C431" s="33" t="str">
        <f>IF(Analysis!A343="","",Analysis!C343)</f>
        <v/>
      </c>
      <c r="D431" s="33" t="str">
        <f>IF(Analysis!A343="","",Analysis!F343)</f>
        <v/>
      </c>
      <c r="E431" s="33" t="str">
        <f>IF(Analysis!A343="","",Analysis!BG343)</f>
        <v/>
      </c>
      <c r="F431" s="33" t="str">
        <f>IF(Analysis!A343="","",Analysis!AN343)</f>
        <v/>
      </c>
      <c r="G431" s="33" t="str">
        <f>IF(Analysis!A343="","",Analysis!BA343)</f>
        <v/>
      </c>
      <c r="H431" s="34" t="str">
        <f>IF(Analysis!A343="","",Analysis!BJ343)</f>
        <v/>
      </c>
      <c r="I431" s="33" t="str">
        <f>IF(Analysis!A343="","",Analysis!BK343)</f>
        <v/>
      </c>
    </row>
    <row r="432" spans="1:9" ht="14.25" customHeight="1" x14ac:dyDescent="0.25">
      <c r="A432" s="32" t="str">
        <f>IF(Analysis!A344="","",Analysis!A344)</f>
        <v/>
      </c>
      <c r="B432" s="33" t="str">
        <f>IF(Analysis!A344="","",Analysis!B344)</f>
        <v/>
      </c>
      <c r="C432" s="33" t="str">
        <f>IF(Analysis!A344="","",Analysis!C344)</f>
        <v/>
      </c>
      <c r="D432" s="33" t="str">
        <f>IF(Analysis!A344="","",Analysis!F344)</f>
        <v/>
      </c>
      <c r="E432" s="33" t="str">
        <f>IF(Analysis!A344="","",Analysis!BG344)</f>
        <v/>
      </c>
      <c r="F432" s="33" t="str">
        <f>IF(Analysis!A344="","",Analysis!AN344)</f>
        <v/>
      </c>
      <c r="G432" s="33" t="str">
        <f>IF(Analysis!A344="","",Analysis!BA344)</f>
        <v/>
      </c>
      <c r="H432" s="34" t="str">
        <f>IF(Analysis!A344="","",Analysis!BJ344)</f>
        <v/>
      </c>
      <c r="I432" s="33" t="str">
        <f>IF(Analysis!A344="","",Analysis!BK344)</f>
        <v/>
      </c>
    </row>
    <row r="433" spans="1:9" ht="14.25" customHeight="1" x14ac:dyDescent="0.25">
      <c r="A433" s="32" t="str">
        <f>IF(Analysis!A345="","",Analysis!A345)</f>
        <v/>
      </c>
      <c r="B433" s="33" t="str">
        <f>IF(Analysis!A345="","",Analysis!B345)</f>
        <v/>
      </c>
      <c r="C433" s="33" t="str">
        <f>IF(Analysis!A345="","",Analysis!C345)</f>
        <v/>
      </c>
      <c r="D433" s="33" t="str">
        <f>IF(Analysis!A345="","",Analysis!F345)</f>
        <v/>
      </c>
      <c r="E433" s="33" t="str">
        <f>IF(Analysis!A345="","",Analysis!BG345)</f>
        <v/>
      </c>
      <c r="F433" s="33" t="str">
        <f>IF(Analysis!A345="","",Analysis!AN345)</f>
        <v/>
      </c>
      <c r="G433" s="33" t="str">
        <f>IF(Analysis!A345="","",Analysis!BA345)</f>
        <v/>
      </c>
      <c r="H433" s="34" t="str">
        <f>IF(Analysis!A345="","",Analysis!BJ345)</f>
        <v/>
      </c>
      <c r="I433" s="33" t="str">
        <f>IF(Analysis!A345="","",Analysis!BK345)</f>
        <v/>
      </c>
    </row>
    <row r="434" spans="1:9" ht="14.25" customHeight="1" x14ac:dyDescent="0.25">
      <c r="A434" s="32" t="str">
        <f>IF(Analysis!A346="","",Analysis!A346)</f>
        <v/>
      </c>
      <c r="B434" s="33" t="str">
        <f>IF(Analysis!A346="","",Analysis!B346)</f>
        <v/>
      </c>
      <c r="C434" s="33" t="str">
        <f>IF(Analysis!A346="","",Analysis!C346)</f>
        <v/>
      </c>
      <c r="D434" s="33" t="str">
        <f>IF(Analysis!A346="","",Analysis!F346)</f>
        <v/>
      </c>
      <c r="E434" s="33" t="str">
        <f>IF(Analysis!A346="","",Analysis!BG346)</f>
        <v/>
      </c>
      <c r="F434" s="33" t="str">
        <f>IF(Analysis!A346="","",Analysis!AN346)</f>
        <v/>
      </c>
      <c r="G434" s="33" t="str">
        <f>IF(Analysis!A346="","",Analysis!BA346)</f>
        <v/>
      </c>
      <c r="H434" s="34" t="str">
        <f>IF(Analysis!A346="","",Analysis!BJ346)</f>
        <v/>
      </c>
      <c r="I434" s="33" t="str">
        <f>IF(Analysis!A346="","",Analysis!BK346)</f>
        <v/>
      </c>
    </row>
    <row r="435" spans="1:9" ht="14.25" customHeight="1" x14ac:dyDescent="0.25">
      <c r="A435" s="32" t="str">
        <f>IF(Analysis!A347="","",Analysis!A347)</f>
        <v/>
      </c>
      <c r="B435" s="33" t="str">
        <f>IF(Analysis!A347="","",Analysis!B347)</f>
        <v/>
      </c>
      <c r="C435" s="33" t="str">
        <f>IF(Analysis!A347="","",Analysis!C347)</f>
        <v/>
      </c>
      <c r="D435" s="33" t="str">
        <f>IF(Analysis!A347="","",Analysis!F347)</f>
        <v/>
      </c>
      <c r="E435" s="33" t="str">
        <f>IF(Analysis!A347="","",Analysis!BG347)</f>
        <v/>
      </c>
      <c r="F435" s="33" t="str">
        <f>IF(Analysis!A347="","",Analysis!AN347)</f>
        <v/>
      </c>
      <c r="G435" s="33" t="str">
        <f>IF(Analysis!A347="","",Analysis!BA347)</f>
        <v/>
      </c>
      <c r="H435" s="34" t="str">
        <f>IF(Analysis!A347="","",Analysis!BJ347)</f>
        <v/>
      </c>
      <c r="I435" s="33" t="str">
        <f>IF(Analysis!A347="","",Analysis!BK347)</f>
        <v/>
      </c>
    </row>
    <row r="436" spans="1:9" ht="14.25" customHeight="1" x14ac:dyDescent="0.25">
      <c r="A436" s="32" t="str">
        <f>IF(Analysis!A348="","",Analysis!A348)</f>
        <v/>
      </c>
      <c r="B436" s="33" t="str">
        <f>IF(Analysis!A348="","",Analysis!B348)</f>
        <v/>
      </c>
      <c r="C436" s="33" t="str">
        <f>IF(Analysis!A348="","",Analysis!C348)</f>
        <v/>
      </c>
      <c r="D436" s="33" t="str">
        <f>IF(Analysis!A348="","",Analysis!F348)</f>
        <v/>
      </c>
      <c r="E436" s="33" t="str">
        <f>IF(Analysis!A348="","",Analysis!BG348)</f>
        <v/>
      </c>
      <c r="F436" s="33" t="str">
        <f>IF(Analysis!A348="","",Analysis!AN348)</f>
        <v/>
      </c>
      <c r="G436" s="33" t="str">
        <f>IF(Analysis!A348="","",Analysis!BA348)</f>
        <v/>
      </c>
      <c r="H436" s="34" t="str">
        <f>IF(Analysis!A348="","",Analysis!BJ348)</f>
        <v/>
      </c>
      <c r="I436" s="33" t="str">
        <f>IF(Analysis!A348="","",Analysis!BK348)</f>
        <v/>
      </c>
    </row>
    <row r="437" spans="1:9" ht="14.25" customHeight="1" x14ac:dyDescent="0.25">
      <c r="A437" s="32" t="str">
        <f>IF(Analysis!A349="","",Analysis!A349)</f>
        <v/>
      </c>
      <c r="B437" s="33" t="str">
        <f>IF(Analysis!A349="","",Analysis!B349)</f>
        <v/>
      </c>
      <c r="C437" s="33" t="str">
        <f>IF(Analysis!A349="","",Analysis!C349)</f>
        <v/>
      </c>
      <c r="D437" s="33" t="str">
        <f>IF(Analysis!A349="","",Analysis!F349)</f>
        <v/>
      </c>
      <c r="E437" s="33" t="str">
        <f>IF(Analysis!A349="","",Analysis!BG349)</f>
        <v/>
      </c>
      <c r="F437" s="33" t="str">
        <f>IF(Analysis!A349="","",Analysis!AN349)</f>
        <v/>
      </c>
      <c r="G437" s="33" t="str">
        <f>IF(Analysis!A349="","",Analysis!BA349)</f>
        <v/>
      </c>
      <c r="H437" s="34" t="str">
        <f>IF(Analysis!A349="","",Analysis!BJ349)</f>
        <v/>
      </c>
      <c r="I437" s="33" t="str">
        <f>IF(Analysis!A349="","",Analysis!BK349)</f>
        <v/>
      </c>
    </row>
    <row r="438" spans="1:9" ht="14.25" customHeight="1" x14ac:dyDescent="0.25">
      <c r="A438" s="32" t="str">
        <f>IF(Analysis!A350="","",Analysis!A350)</f>
        <v/>
      </c>
      <c r="B438" s="33" t="str">
        <f>IF(Analysis!A350="","",Analysis!B350)</f>
        <v/>
      </c>
      <c r="C438" s="33" t="str">
        <f>IF(Analysis!A350="","",Analysis!C350)</f>
        <v/>
      </c>
      <c r="D438" s="33" t="str">
        <f>IF(Analysis!A350="","",Analysis!F350)</f>
        <v/>
      </c>
      <c r="E438" s="33" t="str">
        <f>IF(Analysis!A350="","",Analysis!BG350)</f>
        <v/>
      </c>
      <c r="F438" s="33" t="str">
        <f>IF(Analysis!A350="","",Analysis!AN350)</f>
        <v/>
      </c>
      <c r="G438" s="33" t="str">
        <f>IF(Analysis!A350="","",Analysis!BA350)</f>
        <v/>
      </c>
      <c r="H438" s="34" t="str">
        <f>IF(Analysis!A350="","",Analysis!BJ350)</f>
        <v/>
      </c>
      <c r="I438" s="33" t="str">
        <f>IF(Analysis!A350="","",Analysis!BK350)</f>
        <v/>
      </c>
    </row>
    <row r="439" spans="1:9" ht="14.25" customHeight="1" x14ac:dyDescent="0.25">
      <c r="A439" s="32" t="str">
        <f>IF(Analysis!A351="","",Analysis!A351)</f>
        <v/>
      </c>
      <c r="B439" s="33" t="str">
        <f>IF(Analysis!A351="","",Analysis!B351)</f>
        <v/>
      </c>
      <c r="C439" s="33" t="str">
        <f>IF(Analysis!A351="","",Analysis!C351)</f>
        <v/>
      </c>
      <c r="D439" s="33" t="str">
        <f>IF(Analysis!A351="","",Analysis!F351)</f>
        <v/>
      </c>
      <c r="E439" s="33" t="str">
        <f>IF(Analysis!A351="","",Analysis!BG351)</f>
        <v/>
      </c>
      <c r="F439" s="33" t="str">
        <f>IF(Analysis!A351="","",Analysis!AN351)</f>
        <v/>
      </c>
      <c r="G439" s="33" t="str">
        <f>IF(Analysis!A351="","",Analysis!BA351)</f>
        <v/>
      </c>
      <c r="H439" s="34" t="str">
        <f>IF(Analysis!A351="","",Analysis!BJ351)</f>
        <v/>
      </c>
      <c r="I439" s="33" t="str">
        <f>IF(Analysis!A351="","",Analysis!BK351)</f>
        <v/>
      </c>
    </row>
    <row r="440" spans="1:9" ht="14.25" customHeight="1" x14ac:dyDescent="0.25">
      <c r="A440" s="32" t="str">
        <f>IF(Analysis!A352="","",Analysis!A352)</f>
        <v/>
      </c>
      <c r="B440" s="33" t="str">
        <f>IF(Analysis!A352="","",Analysis!B352)</f>
        <v/>
      </c>
      <c r="C440" s="33" t="str">
        <f>IF(Analysis!A352="","",Analysis!C352)</f>
        <v/>
      </c>
      <c r="D440" s="33" t="str">
        <f>IF(Analysis!A352="","",Analysis!F352)</f>
        <v/>
      </c>
      <c r="E440" s="33" t="str">
        <f>IF(Analysis!A352="","",Analysis!BG352)</f>
        <v/>
      </c>
      <c r="F440" s="33" t="str">
        <f>IF(Analysis!A352="","",Analysis!AN352)</f>
        <v/>
      </c>
      <c r="G440" s="33" t="str">
        <f>IF(Analysis!A352="","",Analysis!BA352)</f>
        <v/>
      </c>
      <c r="H440" s="34" t="str">
        <f>IF(Analysis!A352="","",Analysis!BJ352)</f>
        <v/>
      </c>
      <c r="I440" s="33" t="str">
        <f>IF(Analysis!A352="","",Analysis!BK352)</f>
        <v/>
      </c>
    </row>
    <row r="441" spans="1:9" ht="14.25" customHeight="1" x14ac:dyDescent="0.25">
      <c r="A441" s="32" t="str">
        <f>IF(Analysis!A353="","",Analysis!A353)</f>
        <v/>
      </c>
      <c r="B441" s="33" t="str">
        <f>IF(Analysis!A353="","",Analysis!B353)</f>
        <v/>
      </c>
      <c r="C441" s="33" t="str">
        <f>IF(Analysis!A353="","",Analysis!C353)</f>
        <v/>
      </c>
      <c r="D441" s="33" t="str">
        <f>IF(Analysis!A353="","",Analysis!F353)</f>
        <v/>
      </c>
      <c r="E441" s="33" t="str">
        <f>IF(Analysis!A353="","",Analysis!BG353)</f>
        <v/>
      </c>
      <c r="F441" s="33" t="str">
        <f>IF(Analysis!A353="","",Analysis!AN353)</f>
        <v/>
      </c>
      <c r="G441" s="33" t="str">
        <f>IF(Analysis!A353="","",Analysis!BA353)</f>
        <v/>
      </c>
      <c r="H441" s="34" t="str">
        <f>IF(Analysis!A353="","",Analysis!BJ353)</f>
        <v/>
      </c>
      <c r="I441" s="33" t="str">
        <f>IF(Analysis!A353="","",Analysis!BK353)</f>
        <v/>
      </c>
    </row>
    <row r="442" spans="1:9" ht="14.25" customHeight="1" x14ac:dyDescent="0.25">
      <c r="A442" s="32" t="str">
        <f>IF(Analysis!A354="","",Analysis!A354)</f>
        <v/>
      </c>
      <c r="B442" s="33" t="str">
        <f>IF(Analysis!A354="","",Analysis!B354)</f>
        <v/>
      </c>
      <c r="C442" s="33" t="str">
        <f>IF(Analysis!A354="","",Analysis!C354)</f>
        <v/>
      </c>
      <c r="D442" s="33" t="str">
        <f>IF(Analysis!A354="","",Analysis!F354)</f>
        <v/>
      </c>
      <c r="E442" s="33" t="str">
        <f>IF(Analysis!A354="","",Analysis!BG354)</f>
        <v/>
      </c>
      <c r="F442" s="33" t="str">
        <f>IF(Analysis!A354="","",Analysis!AN354)</f>
        <v/>
      </c>
      <c r="G442" s="33" t="str">
        <f>IF(Analysis!A354="","",Analysis!BA354)</f>
        <v/>
      </c>
      <c r="H442" s="34" t="str">
        <f>IF(Analysis!A354="","",Analysis!BJ354)</f>
        <v/>
      </c>
      <c r="I442" s="33" t="str">
        <f>IF(Analysis!A354="","",Analysis!BK354)</f>
        <v/>
      </c>
    </row>
    <row r="443" spans="1:9" ht="14.25" customHeight="1" x14ac:dyDescent="0.25">
      <c r="A443" s="32" t="str">
        <f>IF(Analysis!A355="","",Analysis!A355)</f>
        <v/>
      </c>
      <c r="B443" s="33" t="str">
        <f>IF(Analysis!A355="","",Analysis!B355)</f>
        <v/>
      </c>
      <c r="C443" s="33" t="str">
        <f>IF(Analysis!A355="","",Analysis!C355)</f>
        <v/>
      </c>
      <c r="D443" s="33" t="str">
        <f>IF(Analysis!A355="","",Analysis!F355)</f>
        <v/>
      </c>
      <c r="E443" s="33" t="str">
        <f>IF(Analysis!A355="","",Analysis!BG355)</f>
        <v/>
      </c>
      <c r="F443" s="33" t="str">
        <f>IF(Analysis!A355="","",Analysis!AN355)</f>
        <v/>
      </c>
      <c r="G443" s="33" t="str">
        <f>IF(Analysis!A355="","",Analysis!BA355)</f>
        <v/>
      </c>
      <c r="H443" s="34" t="str">
        <f>IF(Analysis!A355="","",Analysis!BJ355)</f>
        <v/>
      </c>
      <c r="I443" s="33" t="str">
        <f>IF(Analysis!A355="","",Analysis!BK355)</f>
        <v/>
      </c>
    </row>
    <row r="444" spans="1:9" ht="14.25" customHeight="1" x14ac:dyDescent="0.25">
      <c r="A444" s="32" t="str">
        <f>IF(Analysis!A356="","",Analysis!A356)</f>
        <v/>
      </c>
      <c r="B444" s="33" t="str">
        <f>IF(Analysis!A356="","",Analysis!B356)</f>
        <v/>
      </c>
      <c r="C444" s="33" t="str">
        <f>IF(Analysis!A356="","",Analysis!C356)</f>
        <v/>
      </c>
      <c r="D444" s="33" t="str">
        <f>IF(Analysis!A356="","",Analysis!F356)</f>
        <v/>
      </c>
      <c r="E444" s="33" t="str">
        <f>IF(Analysis!A356="","",Analysis!BG356)</f>
        <v/>
      </c>
      <c r="F444" s="33" t="str">
        <f>IF(Analysis!A356="","",Analysis!AN356)</f>
        <v/>
      </c>
      <c r="G444" s="33" t="str">
        <f>IF(Analysis!A356="","",Analysis!BA356)</f>
        <v/>
      </c>
      <c r="H444" s="34" t="str">
        <f>IF(Analysis!A356="","",Analysis!BJ356)</f>
        <v/>
      </c>
      <c r="I444" s="33" t="str">
        <f>IF(Analysis!A356="","",Analysis!BK356)</f>
        <v/>
      </c>
    </row>
    <row r="445" spans="1:9" ht="14.25" customHeight="1" x14ac:dyDescent="0.25">
      <c r="A445" s="32" t="str">
        <f>IF(Analysis!A357="","",Analysis!A357)</f>
        <v/>
      </c>
      <c r="B445" s="33" t="str">
        <f>IF(Analysis!A357="","",Analysis!B357)</f>
        <v/>
      </c>
      <c r="C445" s="33" t="str">
        <f>IF(Analysis!A357="","",Analysis!C357)</f>
        <v/>
      </c>
      <c r="D445" s="33" t="str">
        <f>IF(Analysis!A357="","",Analysis!F357)</f>
        <v/>
      </c>
      <c r="E445" s="33" t="str">
        <f>IF(Analysis!A357="","",Analysis!BG357)</f>
        <v/>
      </c>
      <c r="F445" s="33" t="str">
        <f>IF(Analysis!A357="","",Analysis!AN357)</f>
        <v/>
      </c>
      <c r="G445" s="33" t="str">
        <f>IF(Analysis!A357="","",Analysis!BA357)</f>
        <v/>
      </c>
      <c r="H445" s="34" t="str">
        <f>IF(Analysis!A357="","",Analysis!BJ357)</f>
        <v/>
      </c>
      <c r="I445" s="33" t="str">
        <f>IF(Analysis!A357="","",Analysis!BK357)</f>
        <v/>
      </c>
    </row>
    <row r="446" spans="1:9" ht="14.25" customHeight="1" x14ac:dyDescent="0.25">
      <c r="A446" s="32" t="str">
        <f>IF(Analysis!A358="","",Analysis!A358)</f>
        <v/>
      </c>
      <c r="B446" s="33" t="str">
        <f>IF(Analysis!A358="","",Analysis!B358)</f>
        <v/>
      </c>
      <c r="C446" s="33" t="str">
        <f>IF(Analysis!A358="","",Analysis!C358)</f>
        <v/>
      </c>
      <c r="D446" s="33" t="str">
        <f>IF(Analysis!A358="","",Analysis!F358)</f>
        <v/>
      </c>
      <c r="E446" s="33" t="str">
        <f>IF(Analysis!A358="","",Analysis!BG358)</f>
        <v/>
      </c>
      <c r="F446" s="33" t="str">
        <f>IF(Analysis!A358="","",Analysis!AN358)</f>
        <v/>
      </c>
      <c r="G446" s="33" t="str">
        <f>IF(Analysis!A358="","",Analysis!BA358)</f>
        <v/>
      </c>
      <c r="H446" s="34" t="str">
        <f>IF(Analysis!A358="","",Analysis!BJ358)</f>
        <v/>
      </c>
      <c r="I446" s="33" t="str">
        <f>IF(Analysis!A358="","",Analysis!BK358)</f>
        <v/>
      </c>
    </row>
    <row r="447" spans="1:9" ht="14.25" customHeight="1" x14ac:dyDescent="0.25">
      <c r="A447" s="32" t="str">
        <f>IF(Analysis!A359="","",Analysis!A359)</f>
        <v/>
      </c>
      <c r="B447" s="33" t="str">
        <f>IF(Analysis!A359="","",Analysis!B359)</f>
        <v/>
      </c>
      <c r="C447" s="33" t="str">
        <f>IF(Analysis!A359="","",Analysis!C359)</f>
        <v/>
      </c>
      <c r="D447" s="33" t="str">
        <f>IF(Analysis!A359="","",Analysis!F359)</f>
        <v/>
      </c>
      <c r="E447" s="33" t="str">
        <f>IF(Analysis!A359="","",Analysis!BG359)</f>
        <v/>
      </c>
      <c r="F447" s="33" t="str">
        <f>IF(Analysis!A359="","",Analysis!AN359)</f>
        <v/>
      </c>
      <c r="G447" s="33" t="str">
        <f>IF(Analysis!A359="","",Analysis!BA359)</f>
        <v/>
      </c>
      <c r="H447" s="34" t="str">
        <f>IF(Analysis!A359="","",Analysis!BJ359)</f>
        <v/>
      </c>
      <c r="I447" s="33" t="str">
        <f>IF(Analysis!A359="","",Analysis!BK359)</f>
        <v/>
      </c>
    </row>
    <row r="448" spans="1:9" ht="14.25" customHeight="1" x14ac:dyDescent="0.25">
      <c r="A448" s="32" t="str">
        <f>IF(Analysis!A360="","",Analysis!A360)</f>
        <v/>
      </c>
      <c r="B448" s="33" t="str">
        <f>IF(Analysis!A360="","",Analysis!B360)</f>
        <v/>
      </c>
      <c r="C448" s="33" t="str">
        <f>IF(Analysis!A360="","",Analysis!C360)</f>
        <v/>
      </c>
      <c r="D448" s="33" t="str">
        <f>IF(Analysis!A360="","",Analysis!F360)</f>
        <v/>
      </c>
      <c r="E448" s="33" t="str">
        <f>IF(Analysis!A360="","",Analysis!BG360)</f>
        <v/>
      </c>
      <c r="F448" s="33" t="str">
        <f>IF(Analysis!A360="","",Analysis!AN360)</f>
        <v/>
      </c>
      <c r="G448" s="33" t="str">
        <f>IF(Analysis!A360="","",Analysis!BA360)</f>
        <v/>
      </c>
      <c r="H448" s="34" t="str">
        <f>IF(Analysis!A360="","",Analysis!BJ360)</f>
        <v/>
      </c>
      <c r="I448" s="33" t="str">
        <f>IF(Analysis!A360="","",Analysis!BK360)</f>
        <v/>
      </c>
    </row>
    <row r="449" spans="1:9" ht="14.25" customHeight="1" x14ac:dyDescent="0.25">
      <c r="A449" s="32" t="str">
        <f>IF(Analysis!A361="","",Analysis!A361)</f>
        <v/>
      </c>
      <c r="B449" s="33" t="str">
        <f>IF(Analysis!A361="","",Analysis!B361)</f>
        <v/>
      </c>
      <c r="C449" s="33" t="str">
        <f>IF(Analysis!A361="","",Analysis!C361)</f>
        <v/>
      </c>
      <c r="D449" s="33" t="str">
        <f>IF(Analysis!A361="","",Analysis!F361)</f>
        <v/>
      </c>
      <c r="E449" s="33" t="str">
        <f>IF(Analysis!A361="","",Analysis!BG361)</f>
        <v/>
      </c>
      <c r="F449" s="33" t="str">
        <f>IF(Analysis!A361="","",Analysis!AN361)</f>
        <v/>
      </c>
      <c r="G449" s="33" t="str">
        <f>IF(Analysis!A361="","",Analysis!BA361)</f>
        <v/>
      </c>
      <c r="H449" s="34" t="str">
        <f>IF(Analysis!A361="","",Analysis!BJ361)</f>
        <v/>
      </c>
      <c r="I449" s="33" t="str">
        <f>IF(Analysis!A361="","",Analysis!BK361)</f>
        <v/>
      </c>
    </row>
    <row r="450" spans="1:9" ht="14.25" customHeight="1" x14ac:dyDescent="0.25">
      <c r="A450" s="32" t="str">
        <f>IF(Analysis!A362="","",Analysis!A362)</f>
        <v/>
      </c>
      <c r="B450" s="33" t="str">
        <f>IF(Analysis!A362="","",Analysis!B362)</f>
        <v/>
      </c>
      <c r="C450" s="33" t="str">
        <f>IF(Analysis!A362="","",Analysis!C362)</f>
        <v/>
      </c>
      <c r="D450" s="33" t="str">
        <f>IF(Analysis!A362="","",Analysis!F362)</f>
        <v/>
      </c>
      <c r="E450" s="33" t="str">
        <f>IF(Analysis!A362="","",Analysis!BG362)</f>
        <v/>
      </c>
      <c r="F450" s="33" t="str">
        <f>IF(Analysis!A362="","",Analysis!AN362)</f>
        <v/>
      </c>
      <c r="G450" s="33" t="str">
        <f>IF(Analysis!A362="","",Analysis!BA362)</f>
        <v/>
      </c>
      <c r="H450" s="34" t="str">
        <f>IF(Analysis!A362="","",Analysis!BJ362)</f>
        <v/>
      </c>
      <c r="I450" s="33" t="str">
        <f>IF(Analysis!A362="","",Analysis!BK362)</f>
        <v/>
      </c>
    </row>
    <row r="451" spans="1:9" ht="14.25" customHeight="1" x14ac:dyDescent="0.25">
      <c r="A451" s="32" t="str">
        <f>IF(Analysis!A363="","",Analysis!A363)</f>
        <v/>
      </c>
      <c r="B451" s="33" t="str">
        <f>IF(Analysis!A363="","",Analysis!B363)</f>
        <v/>
      </c>
      <c r="C451" s="33" t="str">
        <f>IF(Analysis!A363="","",Analysis!C363)</f>
        <v/>
      </c>
      <c r="D451" s="33" t="str">
        <f>IF(Analysis!A363="","",Analysis!F363)</f>
        <v/>
      </c>
      <c r="E451" s="33" t="str">
        <f>IF(Analysis!A363="","",Analysis!BG363)</f>
        <v/>
      </c>
      <c r="F451" s="33" t="str">
        <f>IF(Analysis!A363="","",Analysis!AN363)</f>
        <v/>
      </c>
      <c r="G451" s="33" t="str">
        <f>IF(Analysis!A363="","",Analysis!BA363)</f>
        <v/>
      </c>
      <c r="H451" s="34" t="str">
        <f>IF(Analysis!A363="","",Analysis!BJ363)</f>
        <v/>
      </c>
      <c r="I451" s="33" t="str">
        <f>IF(Analysis!A363="","",Analysis!BK363)</f>
        <v/>
      </c>
    </row>
    <row r="452" spans="1:9" ht="14.25" customHeight="1" x14ac:dyDescent="0.25">
      <c r="A452" s="32" t="str">
        <f>IF(Analysis!A364="","",Analysis!A364)</f>
        <v/>
      </c>
      <c r="B452" s="33" t="str">
        <f>IF(Analysis!A364="","",Analysis!B364)</f>
        <v/>
      </c>
      <c r="C452" s="33" t="str">
        <f>IF(Analysis!A364="","",Analysis!C364)</f>
        <v/>
      </c>
      <c r="D452" s="33" t="str">
        <f>IF(Analysis!A364="","",Analysis!F364)</f>
        <v/>
      </c>
      <c r="E452" s="33" t="str">
        <f>IF(Analysis!A364="","",Analysis!BG364)</f>
        <v/>
      </c>
      <c r="F452" s="33" t="str">
        <f>IF(Analysis!A364="","",Analysis!AN364)</f>
        <v/>
      </c>
      <c r="G452" s="33" t="str">
        <f>IF(Analysis!A364="","",Analysis!BA364)</f>
        <v/>
      </c>
      <c r="H452" s="34" t="str">
        <f>IF(Analysis!A364="","",Analysis!BJ364)</f>
        <v/>
      </c>
      <c r="I452" s="33" t="str">
        <f>IF(Analysis!A364="","",Analysis!BK364)</f>
        <v/>
      </c>
    </row>
    <row r="453" spans="1:9" ht="14.25" customHeight="1" x14ac:dyDescent="0.25">
      <c r="A453" s="32" t="str">
        <f>IF(Analysis!A365="","",Analysis!A365)</f>
        <v/>
      </c>
      <c r="B453" s="33" t="str">
        <f>IF(Analysis!A365="","",Analysis!B365)</f>
        <v/>
      </c>
      <c r="C453" s="33" t="str">
        <f>IF(Analysis!A365="","",Analysis!C365)</f>
        <v/>
      </c>
      <c r="D453" s="33" t="str">
        <f>IF(Analysis!A365="","",Analysis!F365)</f>
        <v/>
      </c>
      <c r="E453" s="33" t="str">
        <f>IF(Analysis!A365="","",Analysis!BG365)</f>
        <v/>
      </c>
      <c r="F453" s="33" t="str">
        <f>IF(Analysis!A365="","",Analysis!AN365)</f>
        <v/>
      </c>
      <c r="G453" s="33" t="str">
        <f>IF(Analysis!A365="","",Analysis!BA365)</f>
        <v/>
      </c>
      <c r="H453" s="34" t="str">
        <f>IF(Analysis!A365="","",Analysis!BJ365)</f>
        <v/>
      </c>
      <c r="I453" s="33" t="str">
        <f>IF(Analysis!A365="","",Analysis!BK365)</f>
        <v/>
      </c>
    </row>
    <row r="454" spans="1:9" ht="14.25" customHeight="1" x14ac:dyDescent="0.25">
      <c r="A454" s="32" t="str">
        <f>IF(Analysis!A366="","",Analysis!A366)</f>
        <v/>
      </c>
      <c r="B454" s="33" t="str">
        <f>IF(Analysis!A366="","",Analysis!B366)</f>
        <v/>
      </c>
      <c r="C454" s="33" t="str">
        <f>IF(Analysis!A366="","",Analysis!C366)</f>
        <v/>
      </c>
      <c r="D454" s="33" t="str">
        <f>IF(Analysis!A366="","",Analysis!F366)</f>
        <v/>
      </c>
      <c r="E454" s="33" t="str">
        <f>IF(Analysis!A366="","",Analysis!BG366)</f>
        <v/>
      </c>
      <c r="F454" s="33" t="str">
        <f>IF(Analysis!A366="","",Analysis!AN366)</f>
        <v/>
      </c>
      <c r="G454" s="33" t="str">
        <f>IF(Analysis!A366="","",Analysis!BA366)</f>
        <v/>
      </c>
      <c r="H454" s="34" t="str">
        <f>IF(Analysis!A366="","",Analysis!BJ366)</f>
        <v/>
      </c>
      <c r="I454" s="33" t="str">
        <f>IF(Analysis!A366="","",Analysis!BK366)</f>
        <v/>
      </c>
    </row>
    <row r="455" spans="1:9" ht="14.25" customHeight="1" x14ac:dyDescent="0.25">
      <c r="A455" s="32" t="str">
        <f>IF(Analysis!A367="","",Analysis!A367)</f>
        <v/>
      </c>
      <c r="B455" s="33" t="str">
        <f>IF(Analysis!A367="","",Analysis!B367)</f>
        <v/>
      </c>
      <c r="C455" s="33" t="str">
        <f>IF(Analysis!A367="","",Analysis!C367)</f>
        <v/>
      </c>
      <c r="D455" s="33" t="str">
        <f>IF(Analysis!A367="","",Analysis!F367)</f>
        <v/>
      </c>
      <c r="E455" s="33" t="str">
        <f>IF(Analysis!A367="","",Analysis!BG367)</f>
        <v/>
      </c>
      <c r="F455" s="33" t="str">
        <f>IF(Analysis!A367="","",Analysis!AN367)</f>
        <v/>
      </c>
      <c r="G455" s="33" t="str">
        <f>IF(Analysis!A367="","",Analysis!BA367)</f>
        <v/>
      </c>
      <c r="H455" s="34" t="str">
        <f>IF(Analysis!A367="","",Analysis!BJ367)</f>
        <v/>
      </c>
      <c r="I455" s="33" t="str">
        <f>IF(Analysis!A367="","",Analysis!BK367)</f>
        <v/>
      </c>
    </row>
    <row r="456" spans="1:9" ht="14.25" customHeight="1" x14ac:dyDescent="0.25">
      <c r="A456" s="32" t="str">
        <f>IF(Analysis!A368="","",Analysis!A368)</f>
        <v/>
      </c>
      <c r="B456" s="33" t="str">
        <f>IF(Analysis!A368="","",Analysis!B368)</f>
        <v/>
      </c>
      <c r="C456" s="33" t="str">
        <f>IF(Analysis!A368="","",Analysis!C368)</f>
        <v/>
      </c>
      <c r="D456" s="33" t="str">
        <f>IF(Analysis!A368="","",Analysis!F368)</f>
        <v/>
      </c>
      <c r="E456" s="33" t="str">
        <f>IF(Analysis!A368="","",Analysis!BG368)</f>
        <v/>
      </c>
      <c r="F456" s="33" t="str">
        <f>IF(Analysis!A368="","",Analysis!AN368)</f>
        <v/>
      </c>
      <c r="G456" s="33" t="str">
        <f>IF(Analysis!A368="","",Analysis!BA368)</f>
        <v/>
      </c>
      <c r="H456" s="34" t="str">
        <f>IF(Analysis!A368="","",Analysis!BJ368)</f>
        <v/>
      </c>
      <c r="I456" s="33" t="str">
        <f>IF(Analysis!A368="","",Analysis!BK368)</f>
        <v/>
      </c>
    </row>
    <row r="457" spans="1:9" ht="14.25" customHeight="1" x14ac:dyDescent="0.25">
      <c r="A457" s="32" t="str">
        <f>IF(Analysis!A369="","",Analysis!A369)</f>
        <v/>
      </c>
      <c r="B457" s="33" t="str">
        <f>IF(Analysis!A369="","",Analysis!B369)</f>
        <v/>
      </c>
      <c r="C457" s="33" t="str">
        <f>IF(Analysis!A369="","",Analysis!C369)</f>
        <v/>
      </c>
      <c r="D457" s="33" t="str">
        <f>IF(Analysis!A369="","",Analysis!F369)</f>
        <v/>
      </c>
      <c r="E457" s="33" t="str">
        <f>IF(Analysis!A369="","",Analysis!BG369)</f>
        <v/>
      </c>
      <c r="F457" s="33" t="str">
        <f>IF(Analysis!A369="","",Analysis!AN369)</f>
        <v/>
      </c>
      <c r="G457" s="33" t="str">
        <f>IF(Analysis!A369="","",Analysis!BA369)</f>
        <v/>
      </c>
      <c r="H457" s="34" t="str">
        <f>IF(Analysis!A369="","",Analysis!BJ369)</f>
        <v/>
      </c>
      <c r="I457" s="33" t="str">
        <f>IF(Analysis!A369="","",Analysis!BK369)</f>
        <v/>
      </c>
    </row>
    <row r="458" spans="1:9" ht="14.25" customHeight="1" x14ac:dyDescent="0.25">
      <c r="A458" s="32" t="str">
        <f>IF(Analysis!A370="","",Analysis!A370)</f>
        <v/>
      </c>
      <c r="B458" s="33" t="str">
        <f>IF(Analysis!A370="","",Analysis!B370)</f>
        <v/>
      </c>
      <c r="C458" s="33" t="str">
        <f>IF(Analysis!A370="","",Analysis!C370)</f>
        <v/>
      </c>
      <c r="D458" s="33" t="str">
        <f>IF(Analysis!A370="","",Analysis!F370)</f>
        <v/>
      </c>
      <c r="E458" s="33" t="str">
        <f>IF(Analysis!A370="","",Analysis!BG370)</f>
        <v/>
      </c>
      <c r="F458" s="33" t="str">
        <f>IF(Analysis!A370="","",Analysis!AN370)</f>
        <v/>
      </c>
      <c r="G458" s="33" t="str">
        <f>IF(Analysis!A370="","",Analysis!BA370)</f>
        <v/>
      </c>
      <c r="H458" s="34" t="str">
        <f>IF(Analysis!A370="","",Analysis!BJ370)</f>
        <v/>
      </c>
      <c r="I458" s="33" t="str">
        <f>IF(Analysis!A370="","",Analysis!BK370)</f>
        <v/>
      </c>
    </row>
    <row r="459" spans="1:9" ht="14.25" customHeight="1" x14ac:dyDescent="0.25">
      <c r="A459" s="32" t="str">
        <f>IF(Analysis!A371="","",Analysis!A371)</f>
        <v/>
      </c>
      <c r="B459" s="33" t="str">
        <f>IF(Analysis!A371="","",Analysis!B371)</f>
        <v/>
      </c>
      <c r="C459" s="33" t="str">
        <f>IF(Analysis!A371="","",Analysis!C371)</f>
        <v/>
      </c>
      <c r="D459" s="33" t="str">
        <f>IF(Analysis!A371="","",Analysis!F371)</f>
        <v/>
      </c>
      <c r="E459" s="33" t="str">
        <f>IF(Analysis!A371="","",Analysis!BG371)</f>
        <v/>
      </c>
      <c r="F459" s="33" t="str">
        <f>IF(Analysis!A371="","",Analysis!AN371)</f>
        <v/>
      </c>
      <c r="G459" s="33" t="str">
        <f>IF(Analysis!A371="","",Analysis!BA371)</f>
        <v/>
      </c>
      <c r="H459" s="34" t="str">
        <f>IF(Analysis!A371="","",Analysis!BJ371)</f>
        <v/>
      </c>
      <c r="I459" s="33" t="str">
        <f>IF(Analysis!A371="","",Analysis!BK371)</f>
        <v/>
      </c>
    </row>
    <row r="460" spans="1:9" ht="14.25" customHeight="1" x14ac:dyDescent="0.25">
      <c r="A460" s="32" t="str">
        <f>IF(Analysis!A372="","",Analysis!A372)</f>
        <v/>
      </c>
      <c r="B460" s="33" t="str">
        <f>IF(Analysis!A372="","",Analysis!B372)</f>
        <v/>
      </c>
      <c r="C460" s="33" t="str">
        <f>IF(Analysis!A372="","",Analysis!C372)</f>
        <v/>
      </c>
      <c r="D460" s="33" t="str">
        <f>IF(Analysis!A372="","",Analysis!F372)</f>
        <v/>
      </c>
      <c r="E460" s="33" t="str">
        <f>IF(Analysis!A372="","",Analysis!BG372)</f>
        <v/>
      </c>
      <c r="F460" s="33" t="str">
        <f>IF(Analysis!A372="","",Analysis!AN372)</f>
        <v/>
      </c>
      <c r="G460" s="33" t="str">
        <f>IF(Analysis!A372="","",Analysis!BA372)</f>
        <v/>
      </c>
      <c r="H460" s="34" t="str">
        <f>IF(Analysis!A372="","",Analysis!BJ372)</f>
        <v/>
      </c>
      <c r="I460" s="33" t="str">
        <f>IF(Analysis!A372="","",Analysis!BK372)</f>
        <v/>
      </c>
    </row>
    <row r="461" spans="1:9" ht="14.25" customHeight="1" x14ac:dyDescent="0.25">
      <c r="A461" s="32" t="str">
        <f>IF(Analysis!A373="","",Analysis!A373)</f>
        <v/>
      </c>
      <c r="B461" s="33" t="str">
        <f>IF(Analysis!A373="","",Analysis!B373)</f>
        <v/>
      </c>
      <c r="C461" s="33" t="str">
        <f>IF(Analysis!A373="","",Analysis!C373)</f>
        <v/>
      </c>
      <c r="D461" s="33" t="str">
        <f>IF(Analysis!A373="","",Analysis!F373)</f>
        <v/>
      </c>
      <c r="E461" s="33" t="str">
        <f>IF(Analysis!A373="","",Analysis!BG373)</f>
        <v/>
      </c>
      <c r="F461" s="33" t="str">
        <f>IF(Analysis!A373="","",Analysis!AN373)</f>
        <v/>
      </c>
      <c r="G461" s="33" t="str">
        <f>IF(Analysis!A373="","",Analysis!BA373)</f>
        <v/>
      </c>
      <c r="H461" s="34" t="str">
        <f>IF(Analysis!A373="","",Analysis!BJ373)</f>
        <v/>
      </c>
      <c r="I461" s="33" t="str">
        <f>IF(Analysis!A373="","",Analysis!BK373)</f>
        <v/>
      </c>
    </row>
    <row r="462" spans="1:9" ht="14.25" customHeight="1" x14ac:dyDescent="0.25">
      <c r="A462" s="32" t="str">
        <f>IF(Analysis!A374="","",Analysis!A374)</f>
        <v/>
      </c>
      <c r="B462" s="33" t="str">
        <f>IF(Analysis!A374="","",Analysis!B374)</f>
        <v/>
      </c>
      <c r="C462" s="33" t="str">
        <f>IF(Analysis!A374="","",Analysis!C374)</f>
        <v/>
      </c>
      <c r="D462" s="33" t="str">
        <f>IF(Analysis!A374="","",Analysis!F374)</f>
        <v/>
      </c>
      <c r="E462" s="33" t="str">
        <f>IF(Analysis!A374="","",Analysis!BG374)</f>
        <v/>
      </c>
      <c r="F462" s="33" t="str">
        <f>IF(Analysis!A374="","",Analysis!AN374)</f>
        <v/>
      </c>
      <c r="G462" s="33" t="str">
        <f>IF(Analysis!A374="","",Analysis!BA374)</f>
        <v/>
      </c>
      <c r="H462" s="34" t="str">
        <f>IF(Analysis!A374="","",Analysis!BJ374)</f>
        <v/>
      </c>
      <c r="I462" s="33" t="str">
        <f>IF(Analysis!A374="","",Analysis!BK374)</f>
        <v/>
      </c>
    </row>
    <row r="463" spans="1:9" ht="14.25" customHeight="1" x14ac:dyDescent="0.25">
      <c r="A463" s="32" t="str">
        <f>IF(Analysis!A375="","",Analysis!A375)</f>
        <v/>
      </c>
      <c r="B463" s="33" t="str">
        <f>IF(Analysis!A375="","",Analysis!B375)</f>
        <v/>
      </c>
      <c r="C463" s="33" t="str">
        <f>IF(Analysis!A375="","",Analysis!C375)</f>
        <v/>
      </c>
      <c r="D463" s="33" t="str">
        <f>IF(Analysis!A375="","",Analysis!F375)</f>
        <v/>
      </c>
      <c r="E463" s="33" t="str">
        <f>IF(Analysis!A375="","",Analysis!BG375)</f>
        <v/>
      </c>
      <c r="F463" s="33" t="str">
        <f>IF(Analysis!A375="","",Analysis!AN375)</f>
        <v/>
      </c>
      <c r="G463" s="33" t="str">
        <f>IF(Analysis!A375="","",Analysis!BA375)</f>
        <v/>
      </c>
      <c r="H463" s="34" t="str">
        <f>IF(Analysis!A375="","",Analysis!BJ375)</f>
        <v/>
      </c>
      <c r="I463" s="33" t="str">
        <f>IF(Analysis!A375="","",Analysis!BK375)</f>
        <v/>
      </c>
    </row>
    <row r="464" spans="1:9" ht="14.25" customHeight="1" x14ac:dyDescent="0.25">
      <c r="A464" s="32" t="str">
        <f>IF(Analysis!A376="","",Analysis!A376)</f>
        <v/>
      </c>
      <c r="B464" s="33" t="str">
        <f>IF(Analysis!A376="","",Analysis!B376)</f>
        <v/>
      </c>
      <c r="C464" s="33" t="str">
        <f>IF(Analysis!A376="","",Analysis!C376)</f>
        <v/>
      </c>
      <c r="D464" s="33" t="str">
        <f>IF(Analysis!A376="","",Analysis!F376)</f>
        <v/>
      </c>
      <c r="E464" s="33" t="str">
        <f>IF(Analysis!A376="","",Analysis!BG376)</f>
        <v/>
      </c>
      <c r="F464" s="33" t="str">
        <f>IF(Analysis!A376="","",Analysis!AN376)</f>
        <v/>
      </c>
      <c r="G464" s="33" t="str">
        <f>IF(Analysis!A376="","",Analysis!BA376)</f>
        <v/>
      </c>
      <c r="H464" s="34" t="str">
        <f>IF(Analysis!A376="","",Analysis!BJ376)</f>
        <v/>
      </c>
      <c r="I464" s="33" t="str">
        <f>IF(Analysis!A376="","",Analysis!BK376)</f>
        <v/>
      </c>
    </row>
    <row r="465" spans="1:9" ht="14.25" customHeight="1" x14ac:dyDescent="0.25">
      <c r="A465" s="32" t="str">
        <f>IF(Analysis!A377="","",Analysis!A377)</f>
        <v/>
      </c>
      <c r="B465" s="33" t="str">
        <f>IF(Analysis!A377="","",Analysis!B377)</f>
        <v/>
      </c>
      <c r="C465" s="33" t="str">
        <f>IF(Analysis!A377="","",Analysis!C377)</f>
        <v/>
      </c>
      <c r="D465" s="33" t="str">
        <f>IF(Analysis!A377="","",Analysis!F377)</f>
        <v/>
      </c>
      <c r="E465" s="33" t="str">
        <f>IF(Analysis!A377="","",Analysis!BG377)</f>
        <v/>
      </c>
      <c r="F465" s="33" t="str">
        <f>IF(Analysis!A377="","",Analysis!AN377)</f>
        <v/>
      </c>
      <c r="G465" s="33" t="str">
        <f>IF(Analysis!A377="","",Analysis!BA377)</f>
        <v/>
      </c>
      <c r="H465" s="34" t="str">
        <f>IF(Analysis!A377="","",Analysis!BJ377)</f>
        <v/>
      </c>
      <c r="I465" s="33" t="str">
        <f>IF(Analysis!A377="","",Analysis!BK377)</f>
        <v/>
      </c>
    </row>
    <row r="466" spans="1:9" ht="14.25" customHeight="1" x14ac:dyDescent="0.25">
      <c r="A466" s="32" t="str">
        <f>IF(Analysis!A378="","",Analysis!A378)</f>
        <v/>
      </c>
      <c r="B466" s="33" t="str">
        <f>IF(Analysis!A378="","",Analysis!B378)</f>
        <v/>
      </c>
      <c r="C466" s="33" t="str">
        <f>IF(Analysis!A378="","",Analysis!C378)</f>
        <v/>
      </c>
      <c r="D466" s="33" t="str">
        <f>IF(Analysis!A378="","",Analysis!F378)</f>
        <v/>
      </c>
      <c r="E466" s="33" t="str">
        <f>IF(Analysis!A378="","",Analysis!BG378)</f>
        <v/>
      </c>
      <c r="F466" s="33" t="str">
        <f>IF(Analysis!A378="","",Analysis!AN378)</f>
        <v/>
      </c>
      <c r="G466" s="33" t="str">
        <f>IF(Analysis!A378="","",Analysis!BA378)</f>
        <v/>
      </c>
      <c r="H466" s="34" t="str">
        <f>IF(Analysis!A378="","",Analysis!BJ378)</f>
        <v/>
      </c>
      <c r="I466" s="33" t="str">
        <f>IF(Analysis!A378="","",Analysis!BK378)</f>
        <v/>
      </c>
    </row>
    <row r="467" spans="1:9" ht="14.25" customHeight="1" x14ac:dyDescent="0.25">
      <c r="A467" s="32" t="str">
        <f>IF(Analysis!A379="","",Analysis!A379)</f>
        <v/>
      </c>
      <c r="B467" s="33" t="str">
        <f>IF(Analysis!A379="","",Analysis!B379)</f>
        <v/>
      </c>
      <c r="C467" s="33" t="str">
        <f>IF(Analysis!A379="","",Analysis!C379)</f>
        <v/>
      </c>
      <c r="D467" s="33" t="str">
        <f>IF(Analysis!A379="","",Analysis!F379)</f>
        <v/>
      </c>
      <c r="E467" s="33" t="str">
        <f>IF(Analysis!A379="","",Analysis!BG379)</f>
        <v/>
      </c>
      <c r="F467" s="33" t="str">
        <f>IF(Analysis!A379="","",Analysis!AN379)</f>
        <v/>
      </c>
      <c r="G467" s="33" t="str">
        <f>IF(Analysis!A379="","",Analysis!BA379)</f>
        <v/>
      </c>
      <c r="H467" s="34" t="str">
        <f>IF(Analysis!A379="","",Analysis!BJ379)</f>
        <v/>
      </c>
      <c r="I467" s="33" t="str">
        <f>IF(Analysis!A379="","",Analysis!BK379)</f>
        <v/>
      </c>
    </row>
    <row r="468" spans="1:9" ht="14.25" customHeight="1" x14ac:dyDescent="0.25">
      <c r="A468" s="32" t="str">
        <f>IF(Analysis!A380="","",Analysis!A380)</f>
        <v/>
      </c>
      <c r="B468" s="33" t="str">
        <f>IF(Analysis!A380="","",Analysis!B380)</f>
        <v/>
      </c>
      <c r="C468" s="33" t="str">
        <f>IF(Analysis!A380="","",Analysis!C380)</f>
        <v/>
      </c>
      <c r="D468" s="33" t="str">
        <f>IF(Analysis!A380="","",Analysis!F380)</f>
        <v/>
      </c>
      <c r="E468" s="33" t="str">
        <f>IF(Analysis!A380="","",Analysis!BG380)</f>
        <v/>
      </c>
      <c r="F468" s="33" t="str">
        <f>IF(Analysis!A380="","",Analysis!AN380)</f>
        <v/>
      </c>
      <c r="G468" s="33" t="str">
        <f>IF(Analysis!A380="","",Analysis!BA380)</f>
        <v/>
      </c>
      <c r="H468" s="34" t="str">
        <f>IF(Analysis!A380="","",Analysis!BJ380)</f>
        <v/>
      </c>
      <c r="I468" s="33" t="str">
        <f>IF(Analysis!A380="","",Analysis!BK380)</f>
        <v/>
      </c>
    </row>
    <row r="469" spans="1:9" ht="14.25" customHeight="1" x14ac:dyDescent="0.25">
      <c r="A469" s="32" t="str">
        <f>IF(Analysis!A381="","",Analysis!A381)</f>
        <v/>
      </c>
      <c r="B469" s="33" t="str">
        <f>IF(Analysis!A381="","",Analysis!B381)</f>
        <v/>
      </c>
      <c r="C469" s="33" t="str">
        <f>IF(Analysis!A381="","",Analysis!C381)</f>
        <v/>
      </c>
      <c r="D469" s="33" t="str">
        <f>IF(Analysis!A381="","",Analysis!F381)</f>
        <v/>
      </c>
      <c r="E469" s="33" t="str">
        <f>IF(Analysis!A381="","",Analysis!BG381)</f>
        <v/>
      </c>
      <c r="F469" s="33" t="str">
        <f>IF(Analysis!A381="","",Analysis!AN381)</f>
        <v/>
      </c>
      <c r="G469" s="33" t="str">
        <f>IF(Analysis!A381="","",Analysis!BA381)</f>
        <v/>
      </c>
      <c r="H469" s="34" t="str">
        <f>IF(Analysis!A381="","",Analysis!BJ381)</f>
        <v/>
      </c>
      <c r="I469" s="33" t="str">
        <f>IF(Analysis!A381="","",Analysis!BK381)</f>
        <v/>
      </c>
    </row>
    <row r="470" spans="1:9" ht="14.25" customHeight="1" x14ac:dyDescent="0.25">
      <c r="A470" s="32" t="str">
        <f>IF(Analysis!A382="","",Analysis!A382)</f>
        <v/>
      </c>
      <c r="B470" s="33" t="str">
        <f>IF(Analysis!A382="","",Analysis!B382)</f>
        <v/>
      </c>
      <c r="C470" s="33" t="str">
        <f>IF(Analysis!A382="","",Analysis!C382)</f>
        <v/>
      </c>
      <c r="D470" s="33" t="str">
        <f>IF(Analysis!A382="","",Analysis!F382)</f>
        <v/>
      </c>
      <c r="E470" s="33" t="str">
        <f>IF(Analysis!A382="","",Analysis!BG382)</f>
        <v/>
      </c>
      <c r="F470" s="33" t="str">
        <f>IF(Analysis!A382="","",Analysis!AN382)</f>
        <v/>
      </c>
      <c r="G470" s="33" t="str">
        <f>IF(Analysis!A382="","",Analysis!BA382)</f>
        <v/>
      </c>
      <c r="H470" s="34" t="str">
        <f>IF(Analysis!A382="","",Analysis!BJ382)</f>
        <v/>
      </c>
      <c r="I470" s="33" t="str">
        <f>IF(Analysis!A382="","",Analysis!BK382)</f>
        <v/>
      </c>
    </row>
    <row r="471" spans="1:9" ht="14.25" customHeight="1" x14ac:dyDescent="0.25">
      <c r="A471" s="32" t="str">
        <f>IF(Analysis!A383="","",Analysis!A383)</f>
        <v/>
      </c>
      <c r="B471" s="33" t="str">
        <f>IF(Analysis!A383="","",Analysis!B383)</f>
        <v/>
      </c>
      <c r="C471" s="33" t="str">
        <f>IF(Analysis!A383="","",Analysis!C383)</f>
        <v/>
      </c>
      <c r="D471" s="33" t="str">
        <f>IF(Analysis!A383="","",Analysis!F383)</f>
        <v/>
      </c>
      <c r="E471" s="33" t="str">
        <f>IF(Analysis!A383="","",Analysis!BG383)</f>
        <v/>
      </c>
      <c r="F471" s="33" t="str">
        <f>IF(Analysis!A383="","",Analysis!AN383)</f>
        <v/>
      </c>
      <c r="G471" s="33" t="str">
        <f>IF(Analysis!A383="","",Analysis!BA383)</f>
        <v/>
      </c>
      <c r="H471" s="34" t="str">
        <f>IF(Analysis!A383="","",Analysis!BJ383)</f>
        <v/>
      </c>
      <c r="I471" s="33" t="str">
        <f>IF(Analysis!A383="","",Analysis!BK383)</f>
        <v/>
      </c>
    </row>
    <row r="472" spans="1:9" ht="14.25" customHeight="1" x14ac:dyDescent="0.25">
      <c r="A472" s="32" t="str">
        <f>IF(Analysis!A384="","",Analysis!A384)</f>
        <v/>
      </c>
      <c r="B472" s="33" t="str">
        <f>IF(Analysis!A384="","",Analysis!B384)</f>
        <v/>
      </c>
      <c r="C472" s="33" t="str">
        <f>IF(Analysis!A384="","",Analysis!C384)</f>
        <v/>
      </c>
      <c r="D472" s="33" t="str">
        <f>IF(Analysis!A384="","",Analysis!F384)</f>
        <v/>
      </c>
      <c r="E472" s="33" t="str">
        <f>IF(Analysis!A384="","",Analysis!BG384)</f>
        <v/>
      </c>
      <c r="F472" s="33" t="str">
        <f>IF(Analysis!A384="","",Analysis!AN384)</f>
        <v/>
      </c>
      <c r="G472" s="33" t="str">
        <f>IF(Analysis!A384="","",Analysis!BA384)</f>
        <v/>
      </c>
      <c r="H472" s="34" t="str">
        <f>IF(Analysis!A384="","",Analysis!BJ384)</f>
        <v/>
      </c>
      <c r="I472" s="33" t="str">
        <f>IF(Analysis!A384="","",Analysis!BK384)</f>
        <v/>
      </c>
    </row>
    <row r="473" spans="1:9" ht="14.25" customHeight="1" x14ac:dyDescent="0.25">
      <c r="A473" s="32" t="str">
        <f>IF(Analysis!A385="","",Analysis!A385)</f>
        <v/>
      </c>
      <c r="B473" s="33" t="str">
        <f>IF(Analysis!A385="","",Analysis!B385)</f>
        <v/>
      </c>
      <c r="C473" s="33" t="str">
        <f>IF(Analysis!A385="","",Analysis!C385)</f>
        <v/>
      </c>
      <c r="D473" s="33" t="str">
        <f>IF(Analysis!A385="","",Analysis!F385)</f>
        <v/>
      </c>
      <c r="E473" s="33" t="str">
        <f>IF(Analysis!A385="","",Analysis!BG385)</f>
        <v/>
      </c>
      <c r="F473" s="33" t="str">
        <f>IF(Analysis!A385="","",Analysis!AN385)</f>
        <v/>
      </c>
      <c r="G473" s="33" t="str">
        <f>IF(Analysis!A385="","",Analysis!BA385)</f>
        <v/>
      </c>
      <c r="H473" s="34" t="str">
        <f>IF(Analysis!A385="","",Analysis!BJ385)</f>
        <v/>
      </c>
      <c r="I473" s="33" t="str">
        <f>IF(Analysis!A385="","",Analysis!BK385)</f>
        <v/>
      </c>
    </row>
    <row r="474" spans="1:9" ht="14.25" customHeight="1" x14ac:dyDescent="0.25">
      <c r="A474" s="32" t="str">
        <f>IF(Analysis!A386="","",Analysis!A386)</f>
        <v/>
      </c>
      <c r="B474" s="33" t="str">
        <f>IF(Analysis!A386="","",Analysis!B386)</f>
        <v/>
      </c>
      <c r="C474" s="33" t="str">
        <f>IF(Analysis!A386="","",Analysis!C386)</f>
        <v/>
      </c>
      <c r="D474" s="33" t="str">
        <f>IF(Analysis!A386="","",Analysis!F386)</f>
        <v/>
      </c>
      <c r="E474" s="33" t="str">
        <f>IF(Analysis!A386="","",Analysis!BG386)</f>
        <v/>
      </c>
      <c r="F474" s="33" t="str">
        <f>IF(Analysis!A386="","",Analysis!AN386)</f>
        <v/>
      </c>
      <c r="G474" s="33" t="str">
        <f>IF(Analysis!A386="","",Analysis!BA386)</f>
        <v/>
      </c>
      <c r="H474" s="34" t="str">
        <f>IF(Analysis!A386="","",Analysis!BJ386)</f>
        <v/>
      </c>
      <c r="I474" s="33" t="str">
        <f>IF(Analysis!A386="","",Analysis!BK386)</f>
        <v/>
      </c>
    </row>
    <row r="475" spans="1:9" ht="14.25" customHeight="1" x14ac:dyDescent="0.25">
      <c r="A475" s="32" t="str">
        <f>IF(Analysis!A387="","",Analysis!A387)</f>
        <v/>
      </c>
      <c r="B475" s="33" t="str">
        <f>IF(Analysis!A387="","",Analysis!B387)</f>
        <v/>
      </c>
      <c r="C475" s="33" t="str">
        <f>IF(Analysis!A387="","",Analysis!C387)</f>
        <v/>
      </c>
      <c r="D475" s="33" t="str">
        <f>IF(Analysis!A387="","",Analysis!F387)</f>
        <v/>
      </c>
      <c r="E475" s="33" t="str">
        <f>IF(Analysis!A387="","",Analysis!BG387)</f>
        <v/>
      </c>
      <c r="F475" s="33" t="str">
        <f>IF(Analysis!A387="","",Analysis!AN387)</f>
        <v/>
      </c>
      <c r="G475" s="33" t="str">
        <f>IF(Analysis!A387="","",Analysis!BA387)</f>
        <v/>
      </c>
      <c r="H475" s="34" t="str">
        <f>IF(Analysis!A387="","",Analysis!BJ387)</f>
        <v/>
      </c>
      <c r="I475" s="33" t="str">
        <f>IF(Analysis!A387="","",Analysis!BK387)</f>
        <v/>
      </c>
    </row>
    <row r="476" spans="1:9" ht="14.25" customHeight="1" x14ac:dyDescent="0.25">
      <c r="A476" s="32" t="str">
        <f>IF(Analysis!A388="","",Analysis!A388)</f>
        <v/>
      </c>
      <c r="B476" s="33" t="str">
        <f>IF(Analysis!A388="","",Analysis!B388)</f>
        <v/>
      </c>
      <c r="C476" s="33" t="str">
        <f>IF(Analysis!A388="","",Analysis!C388)</f>
        <v/>
      </c>
      <c r="D476" s="33" t="str">
        <f>IF(Analysis!A388="","",Analysis!F388)</f>
        <v/>
      </c>
      <c r="E476" s="33" t="str">
        <f>IF(Analysis!A388="","",Analysis!BG388)</f>
        <v/>
      </c>
      <c r="F476" s="33" t="str">
        <f>IF(Analysis!A388="","",Analysis!AN388)</f>
        <v/>
      </c>
      <c r="G476" s="33" t="str">
        <f>IF(Analysis!A388="","",Analysis!BA388)</f>
        <v/>
      </c>
      <c r="H476" s="34" t="str">
        <f>IF(Analysis!A388="","",Analysis!BJ388)</f>
        <v/>
      </c>
      <c r="I476" s="33" t="str">
        <f>IF(Analysis!A388="","",Analysis!BK388)</f>
        <v/>
      </c>
    </row>
    <row r="477" spans="1:9" ht="14.25" customHeight="1" x14ac:dyDescent="0.25">
      <c r="A477" s="32" t="str">
        <f>IF(Analysis!A389="","",Analysis!A389)</f>
        <v/>
      </c>
      <c r="B477" s="33" t="str">
        <f>IF(Analysis!A389="","",Analysis!B389)</f>
        <v/>
      </c>
      <c r="C477" s="33" t="str">
        <f>IF(Analysis!A389="","",Analysis!C389)</f>
        <v/>
      </c>
      <c r="D477" s="33" t="str">
        <f>IF(Analysis!A389="","",Analysis!F389)</f>
        <v/>
      </c>
      <c r="E477" s="33" t="str">
        <f>IF(Analysis!A389="","",Analysis!BG389)</f>
        <v/>
      </c>
      <c r="F477" s="33" t="str">
        <f>IF(Analysis!A389="","",Analysis!AN389)</f>
        <v/>
      </c>
      <c r="G477" s="33" t="str">
        <f>IF(Analysis!A389="","",Analysis!BA389)</f>
        <v/>
      </c>
      <c r="H477" s="34" t="str">
        <f>IF(Analysis!A389="","",Analysis!BJ389)</f>
        <v/>
      </c>
      <c r="I477" s="33" t="str">
        <f>IF(Analysis!A389="","",Analysis!BK389)</f>
        <v/>
      </c>
    </row>
    <row r="478" spans="1:9" ht="14.25" customHeight="1" x14ac:dyDescent="0.25">
      <c r="A478" s="32" t="str">
        <f>IF(Analysis!A390="","",Analysis!A390)</f>
        <v/>
      </c>
      <c r="B478" s="33" t="str">
        <f>IF(Analysis!A390="","",Analysis!B390)</f>
        <v/>
      </c>
      <c r="C478" s="33" t="str">
        <f>IF(Analysis!A390="","",Analysis!C390)</f>
        <v/>
      </c>
      <c r="D478" s="33" t="str">
        <f>IF(Analysis!A390="","",Analysis!F390)</f>
        <v/>
      </c>
      <c r="E478" s="33" t="str">
        <f>IF(Analysis!A390="","",Analysis!BG390)</f>
        <v/>
      </c>
      <c r="F478" s="33" t="str">
        <f>IF(Analysis!A390="","",Analysis!AN390)</f>
        <v/>
      </c>
      <c r="G478" s="33" t="str">
        <f>IF(Analysis!A390="","",Analysis!BA390)</f>
        <v/>
      </c>
      <c r="H478" s="34" t="str">
        <f>IF(Analysis!A390="","",Analysis!BJ390)</f>
        <v/>
      </c>
      <c r="I478" s="33" t="str">
        <f>IF(Analysis!A390="","",Analysis!BK390)</f>
        <v/>
      </c>
    </row>
    <row r="479" spans="1:9" ht="14.25" customHeight="1" x14ac:dyDescent="0.25">
      <c r="A479" s="32" t="str">
        <f>IF(Analysis!A391="","",Analysis!A391)</f>
        <v/>
      </c>
      <c r="B479" s="33" t="str">
        <f>IF(Analysis!A391="","",Analysis!B391)</f>
        <v/>
      </c>
      <c r="C479" s="33" t="str">
        <f>IF(Analysis!A391="","",Analysis!C391)</f>
        <v/>
      </c>
      <c r="D479" s="33" t="str">
        <f>IF(Analysis!A391="","",Analysis!F391)</f>
        <v/>
      </c>
      <c r="E479" s="33" t="str">
        <f>IF(Analysis!A391="","",Analysis!BG391)</f>
        <v/>
      </c>
      <c r="F479" s="33" t="str">
        <f>IF(Analysis!A391="","",Analysis!AN391)</f>
        <v/>
      </c>
      <c r="G479" s="33" t="str">
        <f>IF(Analysis!A391="","",Analysis!BA391)</f>
        <v/>
      </c>
      <c r="H479" s="34" t="str">
        <f>IF(Analysis!A391="","",Analysis!BJ391)</f>
        <v/>
      </c>
      <c r="I479" s="33" t="str">
        <f>IF(Analysis!A391="","",Analysis!BK391)</f>
        <v/>
      </c>
    </row>
    <row r="480" spans="1:9" ht="14.25" customHeight="1" x14ac:dyDescent="0.25">
      <c r="A480" s="32" t="str">
        <f>IF(Analysis!A392="","",Analysis!A392)</f>
        <v/>
      </c>
      <c r="B480" s="33" t="str">
        <f>IF(Analysis!A392="","",Analysis!B392)</f>
        <v/>
      </c>
      <c r="C480" s="33" t="str">
        <f>IF(Analysis!A392="","",Analysis!C392)</f>
        <v/>
      </c>
      <c r="D480" s="33" t="str">
        <f>IF(Analysis!A392="","",Analysis!F392)</f>
        <v/>
      </c>
      <c r="E480" s="33" t="str">
        <f>IF(Analysis!A392="","",Analysis!BG392)</f>
        <v/>
      </c>
      <c r="F480" s="33" t="str">
        <f>IF(Analysis!A392="","",Analysis!AN392)</f>
        <v/>
      </c>
      <c r="G480" s="33" t="str">
        <f>IF(Analysis!A392="","",Analysis!BA392)</f>
        <v/>
      </c>
      <c r="H480" s="34" t="str">
        <f>IF(Analysis!A392="","",Analysis!BJ392)</f>
        <v/>
      </c>
      <c r="I480" s="33" t="str">
        <f>IF(Analysis!A392="","",Analysis!BK392)</f>
        <v/>
      </c>
    </row>
    <row r="481" spans="1:9" ht="14.25" customHeight="1" x14ac:dyDescent="0.25">
      <c r="A481" s="32" t="str">
        <f>IF(Analysis!A393="","",Analysis!A393)</f>
        <v/>
      </c>
      <c r="B481" s="33" t="str">
        <f>IF(Analysis!A393="","",Analysis!B393)</f>
        <v/>
      </c>
      <c r="C481" s="33" t="str">
        <f>IF(Analysis!A393="","",Analysis!C393)</f>
        <v/>
      </c>
      <c r="D481" s="33" t="str">
        <f>IF(Analysis!A393="","",Analysis!F393)</f>
        <v/>
      </c>
      <c r="E481" s="33" t="str">
        <f>IF(Analysis!A393="","",Analysis!BG393)</f>
        <v/>
      </c>
      <c r="F481" s="33" t="str">
        <f>IF(Analysis!A393="","",Analysis!AN393)</f>
        <v/>
      </c>
      <c r="G481" s="33" t="str">
        <f>IF(Analysis!A393="","",Analysis!BA393)</f>
        <v/>
      </c>
      <c r="H481" s="34" t="str">
        <f>IF(Analysis!A393="","",Analysis!BJ393)</f>
        <v/>
      </c>
      <c r="I481" s="33" t="str">
        <f>IF(Analysis!A393="","",Analysis!BK393)</f>
        <v/>
      </c>
    </row>
    <row r="482" spans="1:9" ht="14.25" customHeight="1" x14ac:dyDescent="0.25">
      <c r="A482" s="32" t="str">
        <f>IF(Analysis!A394="","",Analysis!A394)</f>
        <v/>
      </c>
      <c r="B482" s="33" t="str">
        <f>IF(Analysis!A394="","",Analysis!B394)</f>
        <v/>
      </c>
      <c r="C482" s="33" t="str">
        <f>IF(Analysis!A394="","",Analysis!C394)</f>
        <v/>
      </c>
      <c r="D482" s="33" t="str">
        <f>IF(Analysis!A394="","",Analysis!F394)</f>
        <v/>
      </c>
      <c r="E482" s="33" t="str">
        <f>IF(Analysis!A394="","",Analysis!BG394)</f>
        <v/>
      </c>
      <c r="F482" s="33" t="str">
        <f>IF(Analysis!A394="","",Analysis!AN394)</f>
        <v/>
      </c>
      <c r="G482" s="33" t="str">
        <f>IF(Analysis!A394="","",Analysis!BA394)</f>
        <v/>
      </c>
      <c r="H482" s="34" t="str">
        <f>IF(Analysis!A394="","",Analysis!BJ394)</f>
        <v/>
      </c>
      <c r="I482" s="33" t="str">
        <f>IF(Analysis!A394="","",Analysis!BK394)</f>
        <v/>
      </c>
    </row>
    <row r="483" spans="1:9" ht="14.25" customHeight="1" x14ac:dyDescent="0.25">
      <c r="A483" s="32" t="str">
        <f>IF(Analysis!A395="","",Analysis!A395)</f>
        <v/>
      </c>
      <c r="B483" s="33" t="str">
        <f>IF(Analysis!A395="","",Analysis!B395)</f>
        <v/>
      </c>
      <c r="C483" s="33" t="str">
        <f>IF(Analysis!A395="","",Analysis!C395)</f>
        <v/>
      </c>
      <c r="D483" s="33" t="str">
        <f>IF(Analysis!A395="","",Analysis!F395)</f>
        <v/>
      </c>
      <c r="E483" s="33" t="str">
        <f>IF(Analysis!A395="","",Analysis!BG395)</f>
        <v/>
      </c>
      <c r="F483" s="33" t="str">
        <f>IF(Analysis!A395="","",Analysis!AN395)</f>
        <v/>
      </c>
      <c r="G483" s="33" t="str">
        <f>IF(Analysis!A395="","",Analysis!BA395)</f>
        <v/>
      </c>
      <c r="H483" s="34" t="str">
        <f>IF(Analysis!A395="","",Analysis!BJ395)</f>
        <v/>
      </c>
      <c r="I483" s="33" t="str">
        <f>IF(Analysis!A395="","",Analysis!BK395)</f>
        <v/>
      </c>
    </row>
    <row r="484" spans="1:9" ht="14.25" customHeight="1" x14ac:dyDescent="0.25">
      <c r="A484" s="32" t="str">
        <f>IF(Analysis!A396="","",Analysis!A396)</f>
        <v/>
      </c>
      <c r="B484" s="33" t="str">
        <f>IF(Analysis!A396="","",Analysis!B396)</f>
        <v/>
      </c>
      <c r="C484" s="33" t="str">
        <f>IF(Analysis!A396="","",Analysis!C396)</f>
        <v/>
      </c>
      <c r="D484" s="33" t="str">
        <f>IF(Analysis!A396="","",Analysis!F396)</f>
        <v/>
      </c>
      <c r="E484" s="33" t="str">
        <f>IF(Analysis!A396="","",Analysis!BG396)</f>
        <v/>
      </c>
      <c r="F484" s="33" t="str">
        <f>IF(Analysis!A396="","",Analysis!AN396)</f>
        <v/>
      </c>
      <c r="G484" s="33" t="str">
        <f>IF(Analysis!A396="","",Analysis!BA396)</f>
        <v/>
      </c>
      <c r="H484" s="34" t="str">
        <f>IF(Analysis!A396="","",Analysis!BJ396)</f>
        <v/>
      </c>
      <c r="I484" s="33" t="str">
        <f>IF(Analysis!A396="","",Analysis!BK396)</f>
        <v/>
      </c>
    </row>
    <row r="485" spans="1:9" ht="14.25" customHeight="1" x14ac:dyDescent="0.25">
      <c r="A485" s="32" t="str">
        <f>IF(Analysis!A397="","",Analysis!A397)</f>
        <v/>
      </c>
      <c r="B485" s="33" t="str">
        <f>IF(Analysis!A397="","",Analysis!B397)</f>
        <v/>
      </c>
      <c r="C485" s="33" t="str">
        <f>IF(Analysis!A397="","",Analysis!C397)</f>
        <v/>
      </c>
      <c r="D485" s="33" t="str">
        <f>IF(Analysis!A397="","",Analysis!F397)</f>
        <v/>
      </c>
      <c r="E485" s="33" t="str">
        <f>IF(Analysis!A397="","",Analysis!BG397)</f>
        <v/>
      </c>
      <c r="F485" s="33" t="str">
        <f>IF(Analysis!A397="","",Analysis!AN397)</f>
        <v/>
      </c>
      <c r="G485" s="33" t="str">
        <f>IF(Analysis!A397="","",Analysis!BA397)</f>
        <v/>
      </c>
      <c r="H485" s="34" t="str">
        <f>IF(Analysis!A397="","",Analysis!BJ397)</f>
        <v/>
      </c>
      <c r="I485" s="33" t="str">
        <f>IF(Analysis!A397="","",Analysis!BK397)</f>
        <v/>
      </c>
    </row>
    <row r="486" spans="1:9" ht="14.25" customHeight="1" x14ac:dyDescent="0.25">
      <c r="A486" s="32" t="str">
        <f>IF(Analysis!A398="","",Analysis!A398)</f>
        <v/>
      </c>
      <c r="B486" s="33" t="str">
        <f>IF(Analysis!A398="","",Analysis!B398)</f>
        <v/>
      </c>
      <c r="C486" s="33" t="str">
        <f>IF(Analysis!A398="","",Analysis!C398)</f>
        <v/>
      </c>
      <c r="D486" s="33" t="str">
        <f>IF(Analysis!A398="","",Analysis!F398)</f>
        <v/>
      </c>
      <c r="E486" s="33" t="str">
        <f>IF(Analysis!A398="","",Analysis!BG398)</f>
        <v/>
      </c>
      <c r="F486" s="33" t="str">
        <f>IF(Analysis!A398="","",Analysis!AN398)</f>
        <v/>
      </c>
      <c r="G486" s="33" t="str">
        <f>IF(Analysis!A398="","",Analysis!BA398)</f>
        <v/>
      </c>
      <c r="H486" s="34" t="str">
        <f>IF(Analysis!A398="","",Analysis!BJ398)</f>
        <v/>
      </c>
      <c r="I486" s="33" t="str">
        <f>IF(Analysis!A398="","",Analysis!BK398)</f>
        <v/>
      </c>
    </row>
    <row r="487" spans="1:9" ht="14.25" customHeight="1" x14ac:dyDescent="0.25">
      <c r="A487" s="32" t="str">
        <f>IF(Analysis!A399="","",Analysis!A399)</f>
        <v/>
      </c>
      <c r="B487" s="33" t="str">
        <f>IF(Analysis!A399="","",Analysis!B399)</f>
        <v/>
      </c>
      <c r="C487" s="33" t="str">
        <f>IF(Analysis!A399="","",Analysis!C399)</f>
        <v/>
      </c>
      <c r="D487" s="33" t="str">
        <f>IF(Analysis!A399="","",Analysis!F399)</f>
        <v/>
      </c>
      <c r="E487" s="33" t="str">
        <f>IF(Analysis!A399="","",Analysis!BG399)</f>
        <v/>
      </c>
      <c r="F487" s="33" t="str">
        <f>IF(Analysis!A399="","",Analysis!AN399)</f>
        <v/>
      </c>
      <c r="G487" s="33" t="str">
        <f>IF(Analysis!A399="","",Analysis!BA399)</f>
        <v/>
      </c>
      <c r="H487" s="34" t="str">
        <f>IF(Analysis!A399="","",Analysis!BJ399)</f>
        <v/>
      </c>
      <c r="I487" s="33" t="str">
        <f>IF(Analysis!A399="","",Analysis!BK399)</f>
        <v/>
      </c>
    </row>
    <row r="488" spans="1:9" ht="14.25" customHeight="1" x14ac:dyDescent="0.25">
      <c r="A488" s="32" t="str">
        <f>IF(Analysis!A400="","",Analysis!A400)</f>
        <v/>
      </c>
      <c r="B488" s="33" t="str">
        <f>IF(Analysis!A400="","",Analysis!B400)</f>
        <v/>
      </c>
      <c r="C488" s="33" t="str">
        <f>IF(Analysis!A400="","",Analysis!C400)</f>
        <v/>
      </c>
      <c r="D488" s="33" t="str">
        <f>IF(Analysis!A400="","",Analysis!F400)</f>
        <v/>
      </c>
      <c r="E488" s="33" t="str">
        <f>IF(Analysis!A400="","",Analysis!BG400)</f>
        <v/>
      </c>
      <c r="F488" s="33" t="str">
        <f>IF(Analysis!A400="","",Analysis!AN400)</f>
        <v/>
      </c>
      <c r="G488" s="33" t="str">
        <f>IF(Analysis!A400="","",Analysis!BA400)</f>
        <v/>
      </c>
      <c r="H488" s="34" t="str">
        <f>IF(Analysis!A400="","",Analysis!BJ400)</f>
        <v/>
      </c>
      <c r="I488" s="33" t="str">
        <f>IF(Analysis!A400="","",Analysis!BK400)</f>
        <v/>
      </c>
    </row>
    <row r="489" spans="1:9" ht="14.25" customHeight="1" x14ac:dyDescent="0.25">
      <c r="A489" s="32" t="str">
        <f>IF(Analysis!A401="","",Analysis!A401)</f>
        <v/>
      </c>
      <c r="B489" s="33" t="str">
        <f>IF(Analysis!A401="","",Analysis!B401)</f>
        <v/>
      </c>
      <c r="C489" s="33" t="str">
        <f>IF(Analysis!A401="","",Analysis!C401)</f>
        <v/>
      </c>
      <c r="D489" s="33" t="str">
        <f>IF(Analysis!A401="","",Analysis!F401)</f>
        <v/>
      </c>
      <c r="E489" s="33" t="str">
        <f>IF(Analysis!A401="","",Analysis!BG401)</f>
        <v/>
      </c>
      <c r="F489" s="33" t="str">
        <f>IF(Analysis!A401="","",Analysis!AN401)</f>
        <v/>
      </c>
      <c r="G489" s="33" t="str">
        <f>IF(Analysis!A401="","",Analysis!BA401)</f>
        <v/>
      </c>
      <c r="H489" s="34" t="str">
        <f>IF(Analysis!A401="","",Analysis!BJ401)</f>
        <v/>
      </c>
      <c r="I489" s="33" t="str">
        <f>IF(Analysis!A401="","",Analysis!BK401)</f>
        <v/>
      </c>
    </row>
    <row r="490" spans="1:9" ht="14.25" customHeight="1" x14ac:dyDescent="0.25">
      <c r="A490" s="32" t="str">
        <f>IF(Analysis!A402="","",Analysis!A402)</f>
        <v/>
      </c>
      <c r="B490" s="33" t="str">
        <f>IF(Analysis!A402="","",Analysis!B402)</f>
        <v/>
      </c>
      <c r="C490" s="33" t="str">
        <f>IF(Analysis!A402="","",Analysis!C402)</f>
        <v/>
      </c>
      <c r="D490" s="33" t="str">
        <f>IF(Analysis!A402="","",Analysis!F402)</f>
        <v/>
      </c>
      <c r="E490" s="33" t="str">
        <f>IF(Analysis!A402="","",Analysis!BG402)</f>
        <v/>
      </c>
      <c r="F490" s="33" t="str">
        <f>IF(Analysis!A402="","",Analysis!AN402)</f>
        <v/>
      </c>
      <c r="G490" s="33" t="str">
        <f>IF(Analysis!A402="","",Analysis!BA402)</f>
        <v/>
      </c>
      <c r="H490" s="34" t="str">
        <f>IF(Analysis!A402="","",Analysis!BJ402)</f>
        <v/>
      </c>
      <c r="I490" s="33" t="str">
        <f>IF(Analysis!A402="","",Analysis!BK402)</f>
        <v/>
      </c>
    </row>
    <row r="491" spans="1:9" ht="14.25" customHeight="1" x14ac:dyDescent="0.25">
      <c r="A491" s="32" t="str">
        <f>IF(Analysis!A403="","",Analysis!A403)</f>
        <v/>
      </c>
      <c r="B491" s="33" t="str">
        <f>IF(Analysis!A403="","",Analysis!B403)</f>
        <v/>
      </c>
      <c r="C491" s="33" t="str">
        <f>IF(Analysis!A403="","",Analysis!C403)</f>
        <v/>
      </c>
      <c r="D491" s="33" t="str">
        <f>IF(Analysis!A403="","",Analysis!F403)</f>
        <v/>
      </c>
      <c r="E491" s="33" t="str">
        <f>IF(Analysis!A403="","",Analysis!BG403)</f>
        <v/>
      </c>
      <c r="F491" s="33" t="str">
        <f>IF(Analysis!A403="","",Analysis!AN403)</f>
        <v/>
      </c>
      <c r="G491" s="33" t="str">
        <f>IF(Analysis!A403="","",Analysis!BA403)</f>
        <v/>
      </c>
      <c r="H491" s="34" t="str">
        <f>IF(Analysis!A403="","",Analysis!BJ403)</f>
        <v/>
      </c>
      <c r="I491" s="33" t="str">
        <f>IF(Analysis!A403="","",Analysis!BK403)</f>
        <v/>
      </c>
    </row>
    <row r="492" spans="1:9" ht="14.25" customHeight="1" x14ac:dyDescent="0.25">
      <c r="A492" s="32" t="str">
        <f>IF(Analysis!A404="","",Analysis!A404)</f>
        <v/>
      </c>
      <c r="B492" s="33" t="str">
        <f>IF(Analysis!A404="","",Analysis!B404)</f>
        <v/>
      </c>
      <c r="C492" s="33" t="str">
        <f>IF(Analysis!A404="","",Analysis!C404)</f>
        <v/>
      </c>
      <c r="D492" s="33" t="str">
        <f>IF(Analysis!A404="","",Analysis!F404)</f>
        <v/>
      </c>
      <c r="E492" s="33" t="str">
        <f>IF(Analysis!A404="","",Analysis!BG404)</f>
        <v/>
      </c>
      <c r="F492" s="33" t="str">
        <f>IF(Analysis!A404="","",Analysis!AN404)</f>
        <v/>
      </c>
      <c r="G492" s="33" t="str">
        <f>IF(Analysis!A404="","",Analysis!BA404)</f>
        <v/>
      </c>
      <c r="H492" s="34" t="str">
        <f>IF(Analysis!A404="","",Analysis!BJ404)</f>
        <v/>
      </c>
      <c r="I492" s="33" t="str">
        <f>IF(Analysis!A404="","",Analysis!BK404)</f>
        <v/>
      </c>
    </row>
    <row r="493" spans="1:9" ht="14.25" customHeight="1" x14ac:dyDescent="0.25">
      <c r="A493" s="32" t="str">
        <f>IF(Analysis!A405="","",Analysis!A405)</f>
        <v/>
      </c>
      <c r="B493" s="33" t="str">
        <f>IF(Analysis!A405="","",Analysis!B405)</f>
        <v/>
      </c>
      <c r="C493" s="33" t="str">
        <f>IF(Analysis!A405="","",Analysis!C405)</f>
        <v/>
      </c>
      <c r="D493" s="33" t="str">
        <f>IF(Analysis!A405="","",Analysis!F405)</f>
        <v/>
      </c>
      <c r="E493" s="33" t="str">
        <f>IF(Analysis!A405="","",Analysis!BG405)</f>
        <v/>
      </c>
      <c r="F493" s="33" t="str">
        <f>IF(Analysis!A405="","",Analysis!AN405)</f>
        <v/>
      </c>
      <c r="G493" s="33" t="str">
        <f>IF(Analysis!A405="","",Analysis!BA405)</f>
        <v/>
      </c>
      <c r="H493" s="34" t="str">
        <f>IF(Analysis!A405="","",Analysis!BJ405)</f>
        <v/>
      </c>
      <c r="I493" s="33" t="str">
        <f>IF(Analysis!A405="","",Analysis!BK405)</f>
        <v/>
      </c>
    </row>
    <row r="494" spans="1:9" ht="14.25" customHeight="1" x14ac:dyDescent="0.25">
      <c r="A494" s="32" t="str">
        <f>IF(Analysis!A406="","",Analysis!A406)</f>
        <v/>
      </c>
      <c r="B494" s="33" t="str">
        <f>IF(Analysis!A406="","",Analysis!B406)</f>
        <v/>
      </c>
      <c r="C494" s="33" t="str">
        <f>IF(Analysis!A406="","",Analysis!C406)</f>
        <v/>
      </c>
      <c r="D494" s="33" t="str">
        <f>IF(Analysis!A406="","",Analysis!F406)</f>
        <v/>
      </c>
      <c r="E494" s="33" t="str">
        <f>IF(Analysis!A406="","",Analysis!BG406)</f>
        <v/>
      </c>
      <c r="F494" s="33" t="str">
        <f>IF(Analysis!A406="","",Analysis!AN406)</f>
        <v/>
      </c>
      <c r="G494" s="33" t="str">
        <f>IF(Analysis!A406="","",Analysis!BA406)</f>
        <v/>
      </c>
      <c r="H494" s="34" t="str">
        <f>IF(Analysis!A406="","",Analysis!BJ406)</f>
        <v/>
      </c>
      <c r="I494" s="33" t="str">
        <f>IF(Analysis!A406="","",Analysis!BK406)</f>
        <v/>
      </c>
    </row>
    <row r="495" spans="1:9" ht="14.25" customHeight="1" x14ac:dyDescent="0.25">
      <c r="A495" s="32" t="str">
        <f>IF(Analysis!A407="","",Analysis!A407)</f>
        <v/>
      </c>
      <c r="B495" s="33" t="str">
        <f>IF(Analysis!A407="","",Analysis!B407)</f>
        <v/>
      </c>
      <c r="C495" s="33" t="str">
        <f>IF(Analysis!A407="","",Analysis!C407)</f>
        <v/>
      </c>
      <c r="D495" s="33" t="str">
        <f>IF(Analysis!A407="","",Analysis!F407)</f>
        <v/>
      </c>
      <c r="E495" s="33" t="str">
        <f>IF(Analysis!A407="","",Analysis!BG407)</f>
        <v/>
      </c>
      <c r="F495" s="33" t="str">
        <f>IF(Analysis!A407="","",Analysis!AN407)</f>
        <v/>
      </c>
      <c r="G495" s="33" t="str">
        <f>IF(Analysis!A407="","",Analysis!BA407)</f>
        <v/>
      </c>
      <c r="H495" s="34" t="str">
        <f>IF(Analysis!A407="","",Analysis!BJ407)</f>
        <v/>
      </c>
      <c r="I495" s="33" t="str">
        <f>IF(Analysis!A407="","",Analysis!BK407)</f>
        <v/>
      </c>
    </row>
    <row r="496" spans="1:9" ht="14.25" customHeight="1" x14ac:dyDescent="0.25">
      <c r="A496" s="32" t="str">
        <f>IF(Analysis!A408="","",Analysis!A408)</f>
        <v/>
      </c>
      <c r="B496" s="33" t="str">
        <f>IF(Analysis!A408="","",Analysis!B408)</f>
        <v/>
      </c>
      <c r="C496" s="33" t="str">
        <f>IF(Analysis!A408="","",Analysis!C408)</f>
        <v/>
      </c>
      <c r="D496" s="33" t="str">
        <f>IF(Analysis!A408="","",Analysis!F408)</f>
        <v/>
      </c>
      <c r="E496" s="33" t="str">
        <f>IF(Analysis!A408="","",Analysis!BG408)</f>
        <v/>
      </c>
      <c r="F496" s="33" t="str">
        <f>IF(Analysis!A408="","",Analysis!AN408)</f>
        <v/>
      </c>
      <c r="G496" s="33" t="str">
        <f>IF(Analysis!A408="","",Analysis!BA408)</f>
        <v/>
      </c>
      <c r="H496" s="34" t="str">
        <f>IF(Analysis!A408="","",Analysis!BJ408)</f>
        <v/>
      </c>
      <c r="I496" s="33" t="str">
        <f>IF(Analysis!A408="","",Analysis!BK408)</f>
        <v/>
      </c>
    </row>
    <row r="497" spans="1:9" ht="14.25" customHeight="1" x14ac:dyDescent="0.25">
      <c r="A497" s="32" t="str">
        <f>IF(Analysis!A409="","",Analysis!A409)</f>
        <v/>
      </c>
      <c r="B497" s="33" t="str">
        <f>IF(Analysis!A409="","",Analysis!B409)</f>
        <v/>
      </c>
      <c r="C497" s="33" t="str">
        <f>IF(Analysis!A409="","",Analysis!C409)</f>
        <v/>
      </c>
      <c r="D497" s="33" t="str">
        <f>IF(Analysis!A409="","",Analysis!F409)</f>
        <v/>
      </c>
      <c r="E497" s="33" t="str">
        <f>IF(Analysis!A409="","",Analysis!BG409)</f>
        <v/>
      </c>
      <c r="F497" s="33" t="str">
        <f>IF(Analysis!A409="","",Analysis!AN409)</f>
        <v/>
      </c>
      <c r="G497" s="33" t="str">
        <f>IF(Analysis!A409="","",Analysis!BA409)</f>
        <v/>
      </c>
      <c r="H497" s="34" t="str">
        <f>IF(Analysis!A409="","",Analysis!BJ409)</f>
        <v/>
      </c>
      <c r="I497" s="33" t="str">
        <f>IF(Analysis!A409="","",Analysis!BK409)</f>
        <v/>
      </c>
    </row>
    <row r="498" spans="1:9" ht="14.25" customHeight="1" x14ac:dyDescent="0.25">
      <c r="A498" s="32" t="str">
        <f>IF(Analysis!A410="","",Analysis!A410)</f>
        <v/>
      </c>
      <c r="B498" s="33" t="str">
        <f>IF(Analysis!A410="","",Analysis!B410)</f>
        <v/>
      </c>
      <c r="C498" s="33" t="str">
        <f>IF(Analysis!A410="","",Analysis!C410)</f>
        <v/>
      </c>
      <c r="D498" s="33" t="str">
        <f>IF(Analysis!A410="","",Analysis!F410)</f>
        <v/>
      </c>
      <c r="E498" s="33" t="str">
        <f>IF(Analysis!A410="","",Analysis!BG410)</f>
        <v/>
      </c>
      <c r="F498" s="33" t="str">
        <f>IF(Analysis!A410="","",Analysis!AN410)</f>
        <v/>
      </c>
      <c r="G498" s="33" t="str">
        <f>IF(Analysis!A410="","",Analysis!BA410)</f>
        <v/>
      </c>
      <c r="H498" s="34" t="str">
        <f>IF(Analysis!A410="","",Analysis!BJ410)</f>
        <v/>
      </c>
      <c r="I498" s="33" t="str">
        <f>IF(Analysis!A410="","",Analysis!BK410)</f>
        <v/>
      </c>
    </row>
    <row r="499" spans="1:9" ht="14.25" customHeight="1" x14ac:dyDescent="0.25">
      <c r="A499" s="32" t="str">
        <f>IF(Analysis!A411="","",Analysis!A411)</f>
        <v/>
      </c>
      <c r="B499" s="33" t="str">
        <f>IF(Analysis!A411="","",Analysis!B411)</f>
        <v/>
      </c>
      <c r="C499" s="33" t="str">
        <f>IF(Analysis!A411="","",Analysis!C411)</f>
        <v/>
      </c>
      <c r="D499" s="33" t="str">
        <f>IF(Analysis!A411="","",Analysis!F411)</f>
        <v/>
      </c>
      <c r="E499" s="33" t="str">
        <f>IF(Analysis!A411="","",Analysis!BG411)</f>
        <v/>
      </c>
      <c r="F499" s="33" t="str">
        <f>IF(Analysis!A411="","",Analysis!AN411)</f>
        <v/>
      </c>
      <c r="G499" s="33" t="str">
        <f>IF(Analysis!A411="","",Analysis!BA411)</f>
        <v/>
      </c>
      <c r="H499" s="34" t="str">
        <f>IF(Analysis!A411="","",Analysis!BJ411)</f>
        <v/>
      </c>
      <c r="I499" s="33" t="str">
        <f>IF(Analysis!A411="","",Analysis!BK411)</f>
        <v/>
      </c>
    </row>
    <row r="500" spans="1:9" ht="14.25" customHeight="1" x14ac:dyDescent="0.25">
      <c r="A500" s="32" t="str">
        <f>IF(Analysis!A412="","",Analysis!A412)</f>
        <v/>
      </c>
      <c r="B500" s="33" t="str">
        <f>IF(Analysis!A412="","",Analysis!B412)</f>
        <v/>
      </c>
      <c r="C500" s="33" t="str">
        <f>IF(Analysis!A412="","",Analysis!C412)</f>
        <v/>
      </c>
      <c r="D500" s="33" t="str">
        <f>IF(Analysis!A412="","",Analysis!F412)</f>
        <v/>
      </c>
      <c r="E500" s="33" t="str">
        <f>IF(Analysis!A412="","",Analysis!BG412)</f>
        <v/>
      </c>
      <c r="F500" s="33" t="str">
        <f>IF(Analysis!A412="","",Analysis!AN412)</f>
        <v/>
      </c>
      <c r="G500" s="33" t="str">
        <f>IF(Analysis!A412="","",Analysis!BA412)</f>
        <v/>
      </c>
      <c r="H500" s="34" t="str">
        <f>IF(Analysis!A412="","",Analysis!BJ412)</f>
        <v/>
      </c>
      <c r="I500" s="33" t="str">
        <f>IF(Analysis!A412="","",Analysis!BK412)</f>
        <v/>
      </c>
    </row>
    <row r="501" spans="1:9" ht="14.25" customHeight="1" x14ac:dyDescent="0.25">
      <c r="A501" s="32" t="str">
        <f>IF(Analysis!A413="","",Analysis!A413)</f>
        <v/>
      </c>
      <c r="B501" s="33" t="str">
        <f>IF(Analysis!A413="","",Analysis!B413)</f>
        <v/>
      </c>
      <c r="C501" s="33" t="str">
        <f>IF(Analysis!A413="","",Analysis!C413)</f>
        <v/>
      </c>
      <c r="D501" s="33" t="str">
        <f>IF(Analysis!A413="","",Analysis!F413)</f>
        <v/>
      </c>
      <c r="E501" s="33" t="str">
        <f>IF(Analysis!A413="","",Analysis!BG413)</f>
        <v/>
      </c>
      <c r="F501" s="33" t="str">
        <f>IF(Analysis!A413="","",Analysis!AN413)</f>
        <v/>
      </c>
      <c r="G501" s="33" t="str">
        <f>IF(Analysis!A413="","",Analysis!BA413)</f>
        <v/>
      </c>
      <c r="H501" s="34" t="str">
        <f>IF(Analysis!A413="","",Analysis!BJ413)</f>
        <v/>
      </c>
      <c r="I501" s="33" t="str">
        <f>IF(Analysis!A413="","",Analysis!BK413)</f>
        <v/>
      </c>
    </row>
    <row r="502" spans="1:9" ht="14.25" customHeight="1" x14ac:dyDescent="0.25">
      <c r="A502" s="32" t="str">
        <f>IF(Analysis!A414="","",Analysis!A414)</f>
        <v/>
      </c>
      <c r="B502" s="33" t="str">
        <f>IF(Analysis!A414="","",Analysis!B414)</f>
        <v/>
      </c>
      <c r="C502" s="33" t="str">
        <f>IF(Analysis!A414="","",Analysis!C414)</f>
        <v/>
      </c>
      <c r="D502" s="33" t="str">
        <f>IF(Analysis!A414="","",Analysis!F414)</f>
        <v/>
      </c>
      <c r="E502" s="33" t="str">
        <f>IF(Analysis!A414="","",Analysis!BG414)</f>
        <v/>
      </c>
      <c r="F502" s="33" t="str">
        <f>IF(Analysis!A414="","",Analysis!AN414)</f>
        <v/>
      </c>
      <c r="G502" s="33" t="str">
        <f>IF(Analysis!A414="","",Analysis!BA414)</f>
        <v/>
      </c>
      <c r="H502" s="34" t="str">
        <f>IF(Analysis!A414="","",Analysis!BJ414)</f>
        <v/>
      </c>
      <c r="I502" s="33" t="str">
        <f>IF(Analysis!A414="","",Analysis!BK414)</f>
        <v/>
      </c>
    </row>
    <row r="503" spans="1:9" ht="14.25" customHeight="1" x14ac:dyDescent="0.25">
      <c r="A503" s="32" t="str">
        <f>IF(Analysis!A415="","",Analysis!A415)</f>
        <v/>
      </c>
      <c r="B503" s="33" t="str">
        <f>IF(Analysis!A415="","",Analysis!B415)</f>
        <v/>
      </c>
      <c r="C503" s="33" t="str">
        <f>IF(Analysis!A415="","",Analysis!C415)</f>
        <v/>
      </c>
      <c r="D503" s="33" t="str">
        <f>IF(Analysis!A415="","",Analysis!F415)</f>
        <v/>
      </c>
      <c r="E503" s="33" t="str">
        <f>IF(Analysis!A415="","",Analysis!BG415)</f>
        <v/>
      </c>
      <c r="F503" s="33" t="str">
        <f>IF(Analysis!A415="","",Analysis!AN415)</f>
        <v/>
      </c>
      <c r="G503" s="33" t="str">
        <f>IF(Analysis!A415="","",Analysis!BA415)</f>
        <v/>
      </c>
      <c r="H503" s="34" t="str">
        <f>IF(Analysis!A415="","",Analysis!BJ415)</f>
        <v/>
      </c>
      <c r="I503" s="33" t="str">
        <f>IF(Analysis!A415="","",Analysis!BK415)</f>
        <v/>
      </c>
    </row>
    <row r="504" spans="1:9" ht="14.25" customHeight="1" x14ac:dyDescent="0.25">
      <c r="A504" s="32" t="str">
        <f>IF(Analysis!A416="","",Analysis!A416)</f>
        <v/>
      </c>
      <c r="B504" s="33" t="str">
        <f>IF(Analysis!A416="","",Analysis!B416)</f>
        <v/>
      </c>
      <c r="C504" s="33" t="str">
        <f>IF(Analysis!A416="","",Analysis!C416)</f>
        <v/>
      </c>
      <c r="D504" s="33" t="str">
        <f>IF(Analysis!A416="","",Analysis!F416)</f>
        <v/>
      </c>
      <c r="E504" s="33" t="str">
        <f>IF(Analysis!A416="","",Analysis!BG416)</f>
        <v/>
      </c>
      <c r="F504" s="33" t="str">
        <f>IF(Analysis!A416="","",Analysis!AN416)</f>
        <v/>
      </c>
      <c r="G504" s="33" t="str">
        <f>IF(Analysis!A416="","",Analysis!BA416)</f>
        <v/>
      </c>
      <c r="H504" s="34" t="str">
        <f>IF(Analysis!A416="","",Analysis!BJ416)</f>
        <v/>
      </c>
      <c r="I504" s="33" t="str">
        <f>IF(Analysis!A416="","",Analysis!BK416)</f>
        <v/>
      </c>
    </row>
    <row r="505" spans="1:9" ht="14.25" customHeight="1" x14ac:dyDescent="0.25">
      <c r="A505" s="32" t="str">
        <f>IF(Analysis!A417="","",Analysis!A417)</f>
        <v/>
      </c>
      <c r="B505" s="33" t="str">
        <f>IF(Analysis!A417="","",Analysis!B417)</f>
        <v/>
      </c>
      <c r="C505" s="33" t="str">
        <f>IF(Analysis!A417="","",Analysis!C417)</f>
        <v/>
      </c>
      <c r="D505" s="33" t="str">
        <f>IF(Analysis!A417="","",Analysis!F417)</f>
        <v/>
      </c>
      <c r="E505" s="33" t="str">
        <f>IF(Analysis!A417="","",Analysis!BG417)</f>
        <v/>
      </c>
      <c r="F505" s="33" t="str">
        <f>IF(Analysis!A417="","",Analysis!AN417)</f>
        <v/>
      </c>
      <c r="G505" s="33" t="str">
        <f>IF(Analysis!A417="","",Analysis!BA417)</f>
        <v/>
      </c>
      <c r="H505" s="34" t="str">
        <f>IF(Analysis!A417="","",Analysis!BJ417)</f>
        <v/>
      </c>
      <c r="I505" s="33" t="str">
        <f>IF(Analysis!A417="","",Analysis!BK417)</f>
        <v/>
      </c>
    </row>
    <row r="506" spans="1:9" ht="14.25" customHeight="1" x14ac:dyDescent="0.25">
      <c r="A506" s="32" t="str">
        <f>IF(Analysis!A418="","",Analysis!A418)</f>
        <v/>
      </c>
      <c r="B506" s="33" t="str">
        <f>IF(Analysis!A418="","",Analysis!B418)</f>
        <v/>
      </c>
      <c r="C506" s="33" t="str">
        <f>IF(Analysis!A418="","",Analysis!C418)</f>
        <v/>
      </c>
      <c r="D506" s="33" t="str">
        <f>IF(Analysis!A418="","",Analysis!F418)</f>
        <v/>
      </c>
      <c r="E506" s="33" t="str">
        <f>IF(Analysis!A418="","",Analysis!BG418)</f>
        <v/>
      </c>
      <c r="F506" s="33" t="str">
        <f>IF(Analysis!A418="","",Analysis!AN418)</f>
        <v/>
      </c>
      <c r="G506" s="33" t="str">
        <f>IF(Analysis!A418="","",Analysis!BA418)</f>
        <v/>
      </c>
      <c r="H506" s="34" t="str">
        <f>IF(Analysis!A418="","",Analysis!BJ418)</f>
        <v/>
      </c>
      <c r="I506" s="33" t="str">
        <f>IF(Analysis!A418="","",Analysis!BK418)</f>
        <v/>
      </c>
    </row>
    <row r="507" spans="1:9" ht="14.25" customHeight="1" x14ac:dyDescent="0.25">
      <c r="A507" s="32" t="str">
        <f>IF(Analysis!A419="","",Analysis!A419)</f>
        <v/>
      </c>
      <c r="B507" s="33" t="str">
        <f>IF(Analysis!A419="","",Analysis!B419)</f>
        <v/>
      </c>
      <c r="C507" s="33" t="str">
        <f>IF(Analysis!A419="","",Analysis!C419)</f>
        <v/>
      </c>
      <c r="D507" s="33" t="str">
        <f>IF(Analysis!A419="","",Analysis!F419)</f>
        <v/>
      </c>
      <c r="E507" s="33" t="str">
        <f>IF(Analysis!A419="","",Analysis!BG419)</f>
        <v/>
      </c>
      <c r="F507" s="33" t="str">
        <f>IF(Analysis!A419="","",Analysis!AN419)</f>
        <v/>
      </c>
      <c r="G507" s="33" t="str">
        <f>IF(Analysis!A419="","",Analysis!BA419)</f>
        <v/>
      </c>
      <c r="H507" s="34" t="str">
        <f>IF(Analysis!A419="","",Analysis!BJ419)</f>
        <v/>
      </c>
      <c r="I507" s="33" t="str">
        <f>IF(Analysis!A419="","",Analysis!BK419)</f>
        <v/>
      </c>
    </row>
    <row r="508" spans="1:9" ht="14.25" customHeight="1" x14ac:dyDescent="0.25">
      <c r="A508" s="32" t="str">
        <f>IF(Analysis!A420="","",Analysis!A420)</f>
        <v/>
      </c>
      <c r="B508" s="33" t="str">
        <f>IF(Analysis!A420="","",Analysis!B420)</f>
        <v/>
      </c>
      <c r="C508" s="33" t="str">
        <f>IF(Analysis!A420="","",Analysis!C420)</f>
        <v/>
      </c>
      <c r="D508" s="33" t="str">
        <f>IF(Analysis!A420="","",Analysis!F420)</f>
        <v/>
      </c>
      <c r="E508" s="33" t="str">
        <f>IF(Analysis!A420="","",Analysis!BG420)</f>
        <v/>
      </c>
      <c r="F508" s="33" t="str">
        <f>IF(Analysis!A420="","",Analysis!AN420)</f>
        <v/>
      </c>
      <c r="G508" s="33" t="str">
        <f>IF(Analysis!A420="","",Analysis!BA420)</f>
        <v/>
      </c>
      <c r="H508" s="34" t="str">
        <f>IF(Analysis!A420="","",Analysis!BJ420)</f>
        <v/>
      </c>
      <c r="I508" s="33" t="str">
        <f>IF(Analysis!A420="","",Analysis!BK420)</f>
        <v/>
      </c>
    </row>
    <row r="509" spans="1:9" ht="14.25" customHeight="1" x14ac:dyDescent="0.25">
      <c r="A509" s="32" t="str">
        <f>IF(Analysis!A421="","",Analysis!A421)</f>
        <v/>
      </c>
      <c r="B509" s="33" t="str">
        <f>IF(Analysis!A421="","",Analysis!B421)</f>
        <v/>
      </c>
      <c r="C509" s="33" t="str">
        <f>IF(Analysis!A421="","",Analysis!C421)</f>
        <v/>
      </c>
      <c r="D509" s="33" t="str">
        <f>IF(Analysis!A421="","",Analysis!F421)</f>
        <v/>
      </c>
      <c r="E509" s="33" t="str">
        <f>IF(Analysis!A421="","",Analysis!BG421)</f>
        <v/>
      </c>
      <c r="F509" s="33" t="str">
        <f>IF(Analysis!A421="","",Analysis!AN421)</f>
        <v/>
      </c>
      <c r="G509" s="33" t="str">
        <f>IF(Analysis!A421="","",Analysis!BA421)</f>
        <v/>
      </c>
      <c r="H509" s="34" t="str">
        <f>IF(Analysis!A421="","",Analysis!BJ421)</f>
        <v/>
      </c>
      <c r="I509" s="33" t="str">
        <f>IF(Analysis!A421="","",Analysis!BK421)</f>
        <v/>
      </c>
    </row>
    <row r="510" spans="1:9" ht="14.25" customHeight="1" x14ac:dyDescent="0.25">
      <c r="A510" s="32" t="str">
        <f>IF(Analysis!A422="","",Analysis!A422)</f>
        <v/>
      </c>
      <c r="B510" s="33" t="str">
        <f>IF(Analysis!A422="","",Analysis!B422)</f>
        <v/>
      </c>
      <c r="C510" s="33" t="str">
        <f>IF(Analysis!A422="","",Analysis!C422)</f>
        <v/>
      </c>
      <c r="D510" s="33" t="str">
        <f>IF(Analysis!A422="","",Analysis!F422)</f>
        <v/>
      </c>
      <c r="E510" s="33" t="str">
        <f>IF(Analysis!A422="","",Analysis!BG422)</f>
        <v/>
      </c>
      <c r="F510" s="33" t="str">
        <f>IF(Analysis!A422="","",Analysis!AN422)</f>
        <v/>
      </c>
      <c r="G510" s="33" t="str">
        <f>IF(Analysis!A422="","",Analysis!BA422)</f>
        <v/>
      </c>
      <c r="H510" s="34" t="str">
        <f>IF(Analysis!A422="","",Analysis!BJ422)</f>
        <v/>
      </c>
      <c r="I510" s="33" t="str">
        <f>IF(Analysis!A422="","",Analysis!BK422)</f>
        <v/>
      </c>
    </row>
    <row r="511" spans="1:9" ht="14.25" customHeight="1" x14ac:dyDescent="0.25">
      <c r="A511" s="32" t="str">
        <f>IF(Analysis!A423="","",Analysis!A423)</f>
        <v/>
      </c>
      <c r="B511" s="33" t="str">
        <f>IF(Analysis!A423="","",Analysis!B423)</f>
        <v/>
      </c>
      <c r="C511" s="33" t="str">
        <f>IF(Analysis!A423="","",Analysis!C423)</f>
        <v/>
      </c>
      <c r="D511" s="33" t="str">
        <f>IF(Analysis!A423="","",Analysis!F423)</f>
        <v/>
      </c>
      <c r="E511" s="33" t="str">
        <f>IF(Analysis!A423="","",Analysis!BG423)</f>
        <v/>
      </c>
      <c r="F511" s="33" t="str">
        <f>IF(Analysis!A423="","",Analysis!AN423)</f>
        <v/>
      </c>
      <c r="G511" s="33" t="str">
        <f>IF(Analysis!A423="","",Analysis!BA423)</f>
        <v/>
      </c>
      <c r="H511" s="34" t="str">
        <f>IF(Analysis!A423="","",Analysis!BJ423)</f>
        <v/>
      </c>
      <c r="I511" s="33" t="str">
        <f>IF(Analysis!A423="","",Analysis!BK423)</f>
        <v/>
      </c>
    </row>
    <row r="512" spans="1:9" ht="14.25" customHeight="1" x14ac:dyDescent="0.25">
      <c r="A512" s="32" t="str">
        <f>IF(Analysis!A424="","",Analysis!A424)</f>
        <v/>
      </c>
      <c r="B512" s="33" t="str">
        <f>IF(Analysis!A424="","",Analysis!B424)</f>
        <v/>
      </c>
      <c r="C512" s="33" t="str">
        <f>IF(Analysis!A424="","",Analysis!C424)</f>
        <v/>
      </c>
      <c r="D512" s="33" t="str">
        <f>IF(Analysis!A424="","",Analysis!F424)</f>
        <v/>
      </c>
      <c r="E512" s="33" t="str">
        <f>IF(Analysis!A424="","",Analysis!BG424)</f>
        <v/>
      </c>
      <c r="F512" s="33" t="str">
        <f>IF(Analysis!A424="","",Analysis!AN424)</f>
        <v/>
      </c>
      <c r="G512" s="33" t="str">
        <f>IF(Analysis!A424="","",Analysis!BA424)</f>
        <v/>
      </c>
      <c r="H512" s="34" t="str">
        <f>IF(Analysis!A424="","",Analysis!BJ424)</f>
        <v/>
      </c>
      <c r="I512" s="33" t="str">
        <f>IF(Analysis!A424="","",Analysis!BK424)</f>
        <v/>
      </c>
    </row>
    <row r="513" spans="1:9" ht="14.25" customHeight="1" x14ac:dyDescent="0.25">
      <c r="A513" s="32" t="str">
        <f>IF(Analysis!A425="","",Analysis!A425)</f>
        <v/>
      </c>
      <c r="B513" s="33" t="str">
        <f>IF(Analysis!A425="","",Analysis!B425)</f>
        <v/>
      </c>
      <c r="C513" s="33" t="str">
        <f>IF(Analysis!A425="","",Analysis!C425)</f>
        <v/>
      </c>
      <c r="D513" s="33" t="str">
        <f>IF(Analysis!A425="","",Analysis!F425)</f>
        <v/>
      </c>
      <c r="E513" s="33" t="str">
        <f>IF(Analysis!A425="","",Analysis!BG425)</f>
        <v/>
      </c>
      <c r="F513" s="33" t="str">
        <f>IF(Analysis!A425="","",Analysis!AN425)</f>
        <v/>
      </c>
      <c r="G513" s="33" t="str">
        <f>IF(Analysis!A425="","",Analysis!BA425)</f>
        <v/>
      </c>
      <c r="H513" s="34" t="str">
        <f>IF(Analysis!A425="","",Analysis!BJ425)</f>
        <v/>
      </c>
      <c r="I513" s="33" t="str">
        <f>IF(Analysis!A425="","",Analysis!BK425)</f>
        <v/>
      </c>
    </row>
    <row r="514" spans="1:9" ht="14.25" customHeight="1" x14ac:dyDescent="0.25">
      <c r="A514" s="32" t="str">
        <f>IF(Analysis!A426="","",Analysis!A426)</f>
        <v/>
      </c>
      <c r="B514" s="33" t="str">
        <f>IF(Analysis!A426="","",Analysis!B426)</f>
        <v/>
      </c>
      <c r="C514" s="33" t="str">
        <f>IF(Analysis!A426="","",Analysis!C426)</f>
        <v/>
      </c>
      <c r="D514" s="33" t="str">
        <f>IF(Analysis!A426="","",Analysis!F426)</f>
        <v/>
      </c>
      <c r="E514" s="33" t="str">
        <f>IF(Analysis!A426="","",Analysis!BG426)</f>
        <v/>
      </c>
      <c r="F514" s="33" t="str">
        <f>IF(Analysis!A426="","",Analysis!AN426)</f>
        <v/>
      </c>
      <c r="G514" s="33" t="str">
        <f>IF(Analysis!A426="","",Analysis!BA426)</f>
        <v/>
      </c>
      <c r="H514" s="34" t="str">
        <f>IF(Analysis!A426="","",Analysis!BJ426)</f>
        <v/>
      </c>
      <c r="I514" s="33" t="str">
        <f>IF(Analysis!A426="","",Analysis!BK426)</f>
        <v/>
      </c>
    </row>
    <row r="515" spans="1:9" ht="14.25" customHeight="1" x14ac:dyDescent="0.25">
      <c r="A515" s="32" t="str">
        <f>IF(Analysis!A427="","",Analysis!A427)</f>
        <v/>
      </c>
      <c r="B515" s="33" t="str">
        <f>IF(Analysis!A427="","",Analysis!B427)</f>
        <v/>
      </c>
      <c r="C515" s="33" t="str">
        <f>IF(Analysis!A427="","",Analysis!C427)</f>
        <v/>
      </c>
      <c r="D515" s="33" t="str">
        <f>IF(Analysis!A427="","",Analysis!F427)</f>
        <v/>
      </c>
      <c r="E515" s="33" t="str">
        <f>IF(Analysis!A427="","",Analysis!BG427)</f>
        <v/>
      </c>
      <c r="F515" s="33" t="str">
        <f>IF(Analysis!A427="","",Analysis!AN427)</f>
        <v/>
      </c>
      <c r="G515" s="33" t="str">
        <f>IF(Analysis!A427="","",Analysis!BA427)</f>
        <v/>
      </c>
      <c r="H515" s="34" t="str">
        <f>IF(Analysis!A427="","",Analysis!BJ427)</f>
        <v/>
      </c>
      <c r="I515" s="33" t="str">
        <f>IF(Analysis!A427="","",Analysis!BK427)</f>
        <v/>
      </c>
    </row>
    <row r="516" spans="1:9" ht="14.25" customHeight="1" x14ac:dyDescent="0.25">
      <c r="A516" s="32" t="str">
        <f>IF(Analysis!A428="","",Analysis!A428)</f>
        <v/>
      </c>
      <c r="B516" s="33" t="str">
        <f>IF(Analysis!A428="","",Analysis!B428)</f>
        <v/>
      </c>
      <c r="C516" s="33" t="str">
        <f>IF(Analysis!A428="","",Analysis!C428)</f>
        <v/>
      </c>
      <c r="D516" s="33" t="str">
        <f>IF(Analysis!A428="","",Analysis!F428)</f>
        <v/>
      </c>
      <c r="E516" s="33" t="str">
        <f>IF(Analysis!A428="","",Analysis!BG428)</f>
        <v/>
      </c>
      <c r="F516" s="33" t="str">
        <f>IF(Analysis!A428="","",Analysis!AN428)</f>
        <v/>
      </c>
      <c r="G516" s="33" t="str">
        <f>IF(Analysis!A428="","",Analysis!BA428)</f>
        <v/>
      </c>
      <c r="H516" s="34" t="str">
        <f>IF(Analysis!A428="","",Analysis!BJ428)</f>
        <v/>
      </c>
      <c r="I516" s="33" t="str">
        <f>IF(Analysis!A428="","",Analysis!BK428)</f>
        <v/>
      </c>
    </row>
    <row r="517" spans="1:9" ht="14.25" customHeight="1" x14ac:dyDescent="0.25">
      <c r="A517" s="32" t="str">
        <f>IF(Analysis!A429="","",Analysis!A429)</f>
        <v/>
      </c>
      <c r="B517" s="33" t="str">
        <f>IF(Analysis!A429="","",Analysis!B429)</f>
        <v/>
      </c>
      <c r="C517" s="33" t="str">
        <f>IF(Analysis!A429="","",Analysis!C429)</f>
        <v/>
      </c>
      <c r="D517" s="33" t="str">
        <f>IF(Analysis!A429="","",Analysis!F429)</f>
        <v/>
      </c>
      <c r="E517" s="33" t="str">
        <f>IF(Analysis!A429="","",Analysis!BG429)</f>
        <v/>
      </c>
      <c r="F517" s="33" t="str">
        <f>IF(Analysis!A429="","",Analysis!AN429)</f>
        <v/>
      </c>
      <c r="G517" s="33" t="str">
        <f>IF(Analysis!A429="","",Analysis!BA429)</f>
        <v/>
      </c>
      <c r="H517" s="34" t="str">
        <f>IF(Analysis!A429="","",Analysis!BJ429)</f>
        <v/>
      </c>
      <c r="I517" s="33" t="str">
        <f>IF(Analysis!A429="","",Analysis!BK429)</f>
        <v/>
      </c>
    </row>
    <row r="518" spans="1:9" ht="14.25" customHeight="1" x14ac:dyDescent="0.25">
      <c r="A518" s="32" t="str">
        <f>IF(Analysis!A430="","",Analysis!A430)</f>
        <v/>
      </c>
      <c r="B518" s="33" t="str">
        <f>IF(Analysis!A430="","",Analysis!B430)</f>
        <v/>
      </c>
      <c r="C518" s="33" t="str">
        <f>IF(Analysis!A430="","",Analysis!C430)</f>
        <v/>
      </c>
      <c r="D518" s="33" t="str">
        <f>IF(Analysis!A430="","",Analysis!F430)</f>
        <v/>
      </c>
      <c r="E518" s="33" t="str">
        <f>IF(Analysis!A430="","",Analysis!BG430)</f>
        <v/>
      </c>
      <c r="F518" s="33" t="str">
        <f>IF(Analysis!A430="","",Analysis!AN430)</f>
        <v/>
      </c>
      <c r="G518" s="33" t="str">
        <f>IF(Analysis!A430="","",Analysis!BA430)</f>
        <v/>
      </c>
      <c r="H518" s="34" t="str">
        <f>IF(Analysis!A430="","",Analysis!BJ430)</f>
        <v/>
      </c>
      <c r="I518" s="33" t="str">
        <f>IF(Analysis!A430="","",Analysis!BK430)</f>
        <v/>
      </c>
    </row>
    <row r="519" spans="1:9" ht="14.25" customHeight="1" x14ac:dyDescent="0.25">
      <c r="A519" s="32" t="str">
        <f>IF(Analysis!A431="","",Analysis!A431)</f>
        <v/>
      </c>
      <c r="B519" s="33" t="str">
        <f>IF(Analysis!A431="","",Analysis!B431)</f>
        <v/>
      </c>
      <c r="C519" s="33" t="str">
        <f>IF(Analysis!A431="","",Analysis!C431)</f>
        <v/>
      </c>
      <c r="D519" s="33" t="str">
        <f>IF(Analysis!A431="","",Analysis!F431)</f>
        <v/>
      </c>
      <c r="E519" s="33" t="str">
        <f>IF(Analysis!A431="","",Analysis!BG431)</f>
        <v/>
      </c>
      <c r="F519" s="33" t="str">
        <f>IF(Analysis!A431="","",Analysis!AN431)</f>
        <v/>
      </c>
      <c r="G519" s="33" t="str">
        <f>IF(Analysis!A431="","",Analysis!BA431)</f>
        <v/>
      </c>
      <c r="H519" s="34" t="str">
        <f>IF(Analysis!A431="","",Analysis!BJ431)</f>
        <v/>
      </c>
      <c r="I519" s="33" t="str">
        <f>IF(Analysis!A431="","",Analysis!BK431)</f>
        <v/>
      </c>
    </row>
    <row r="520" spans="1:9" ht="14.25" customHeight="1" x14ac:dyDescent="0.25">
      <c r="A520" s="32" t="str">
        <f>IF(Analysis!A432="","",Analysis!A432)</f>
        <v/>
      </c>
      <c r="B520" s="33" t="str">
        <f>IF(Analysis!A432="","",Analysis!B432)</f>
        <v/>
      </c>
      <c r="C520" s="33" t="str">
        <f>IF(Analysis!A432="","",Analysis!C432)</f>
        <v/>
      </c>
      <c r="D520" s="33" t="str">
        <f>IF(Analysis!A432="","",Analysis!F432)</f>
        <v/>
      </c>
      <c r="E520" s="33" t="str">
        <f>IF(Analysis!A432="","",Analysis!BG432)</f>
        <v/>
      </c>
      <c r="F520" s="33" t="str">
        <f>IF(Analysis!A432="","",Analysis!AN432)</f>
        <v/>
      </c>
      <c r="G520" s="33" t="str">
        <f>IF(Analysis!A432="","",Analysis!BA432)</f>
        <v/>
      </c>
      <c r="H520" s="34" t="str">
        <f>IF(Analysis!A432="","",Analysis!BJ432)</f>
        <v/>
      </c>
      <c r="I520" s="33" t="str">
        <f>IF(Analysis!A432="","",Analysis!BK432)</f>
        <v/>
      </c>
    </row>
    <row r="521" spans="1:9" ht="14.25" customHeight="1" x14ac:dyDescent="0.25">
      <c r="A521" s="32" t="str">
        <f>IF(Analysis!A433="","",Analysis!A433)</f>
        <v/>
      </c>
      <c r="B521" s="33" t="str">
        <f>IF(Analysis!A433="","",Analysis!B433)</f>
        <v/>
      </c>
      <c r="C521" s="33" t="str">
        <f>IF(Analysis!A433="","",Analysis!C433)</f>
        <v/>
      </c>
      <c r="D521" s="33" t="str">
        <f>IF(Analysis!A433="","",Analysis!F433)</f>
        <v/>
      </c>
      <c r="E521" s="33" t="str">
        <f>IF(Analysis!A433="","",Analysis!BG433)</f>
        <v/>
      </c>
      <c r="F521" s="33" t="str">
        <f>IF(Analysis!A433="","",Analysis!AN433)</f>
        <v/>
      </c>
      <c r="G521" s="33" t="str">
        <f>IF(Analysis!A433="","",Analysis!BA433)</f>
        <v/>
      </c>
      <c r="H521" s="34" t="str">
        <f>IF(Analysis!A433="","",Analysis!BJ433)</f>
        <v/>
      </c>
      <c r="I521" s="33" t="str">
        <f>IF(Analysis!A433="","",Analysis!BK433)</f>
        <v/>
      </c>
    </row>
    <row r="522" spans="1:9" ht="14.25" customHeight="1" x14ac:dyDescent="0.25">
      <c r="A522" s="32" t="str">
        <f>IF(Analysis!A434="","",Analysis!A434)</f>
        <v/>
      </c>
      <c r="B522" s="33" t="str">
        <f>IF(Analysis!A434="","",Analysis!B434)</f>
        <v/>
      </c>
      <c r="C522" s="33" t="str">
        <f>IF(Analysis!A434="","",Analysis!C434)</f>
        <v/>
      </c>
      <c r="D522" s="33" t="str">
        <f>IF(Analysis!A434="","",Analysis!F434)</f>
        <v/>
      </c>
      <c r="E522" s="33" t="str">
        <f>IF(Analysis!A434="","",Analysis!BG434)</f>
        <v/>
      </c>
      <c r="F522" s="33" t="str">
        <f>IF(Analysis!A434="","",Analysis!AN434)</f>
        <v/>
      </c>
      <c r="G522" s="33" t="str">
        <f>IF(Analysis!A434="","",Analysis!BA434)</f>
        <v/>
      </c>
      <c r="H522" s="34" t="str">
        <f>IF(Analysis!A434="","",Analysis!BJ434)</f>
        <v/>
      </c>
      <c r="I522" s="33" t="str">
        <f>IF(Analysis!A434="","",Analysis!BK434)</f>
        <v/>
      </c>
    </row>
    <row r="523" spans="1:9" ht="14.25" customHeight="1" x14ac:dyDescent="0.25">
      <c r="A523" s="32" t="str">
        <f>IF(Analysis!A435="","",Analysis!A435)</f>
        <v/>
      </c>
      <c r="B523" s="33" t="str">
        <f>IF(Analysis!A435="","",Analysis!B435)</f>
        <v/>
      </c>
      <c r="C523" s="33" t="str">
        <f>IF(Analysis!A435="","",Analysis!C435)</f>
        <v/>
      </c>
      <c r="D523" s="33" t="str">
        <f>IF(Analysis!A435="","",Analysis!F435)</f>
        <v/>
      </c>
      <c r="E523" s="33" t="str">
        <f>IF(Analysis!A435="","",Analysis!BG435)</f>
        <v/>
      </c>
      <c r="F523" s="33" t="str">
        <f>IF(Analysis!A435="","",Analysis!AN435)</f>
        <v/>
      </c>
      <c r="G523" s="33" t="str">
        <f>IF(Analysis!A435="","",Analysis!BA435)</f>
        <v/>
      </c>
      <c r="H523" s="34" t="str">
        <f>IF(Analysis!A435="","",Analysis!BJ435)</f>
        <v/>
      </c>
      <c r="I523" s="33" t="str">
        <f>IF(Analysis!A435="","",Analysis!BK435)</f>
        <v/>
      </c>
    </row>
    <row r="524" spans="1:9" ht="14.25" customHeight="1" x14ac:dyDescent="0.25">
      <c r="A524" s="32" t="str">
        <f>IF(Analysis!A436="","",Analysis!A436)</f>
        <v/>
      </c>
      <c r="B524" s="33" t="str">
        <f>IF(Analysis!A436="","",Analysis!B436)</f>
        <v/>
      </c>
      <c r="C524" s="33" t="str">
        <f>IF(Analysis!A436="","",Analysis!C436)</f>
        <v/>
      </c>
      <c r="D524" s="33" t="str">
        <f>IF(Analysis!A436="","",Analysis!F436)</f>
        <v/>
      </c>
      <c r="E524" s="33" t="str">
        <f>IF(Analysis!A436="","",Analysis!BG436)</f>
        <v/>
      </c>
      <c r="F524" s="33" t="str">
        <f>IF(Analysis!A436="","",Analysis!AN436)</f>
        <v/>
      </c>
      <c r="G524" s="33" t="str">
        <f>IF(Analysis!A436="","",Analysis!BA436)</f>
        <v/>
      </c>
      <c r="H524" s="34" t="str">
        <f>IF(Analysis!A436="","",Analysis!BJ436)</f>
        <v/>
      </c>
      <c r="I524" s="33" t="str">
        <f>IF(Analysis!A436="","",Analysis!BK436)</f>
        <v/>
      </c>
    </row>
    <row r="525" spans="1:9" ht="14.25" customHeight="1" x14ac:dyDescent="0.25">
      <c r="A525" s="32" t="str">
        <f>IF(Analysis!A437="","",Analysis!A437)</f>
        <v/>
      </c>
      <c r="B525" s="33" t="str">
        <f>IF(Analysis!A437="","",Analysis!B437)</f>
        <v/>
      </c>
      <c r="C525" s="33" t="str">
        <f>IF(Analysis!A437="","",Analysis!C437)</f>
        <v/>
      </c>
      <c r="D525" s="33" t="str">
        <f>IF(Analysis!A437="","",Analysis!F437)</f>
        <v/>
      </c>
      <c r="E525" s="33" t="str">
        <f>IF(Analysis!A437="","",Analysis!BG437)</f>
        <v/>
      </c>
      <c r="F525" s="33" t="str">
        <f>IF(Analysis!A437="","",Analysis!AN437)</f>
        <v/>
      </c>
      <c r="G525" s="33" t="str">
        <f>IF(Analysis!A437="","",Analysis!BA437)</f>
        <v/>
      </c>
      <c r="H525" s="34" t="str">
        <f>IF(Analysis!A437="","",Analysis!BJ437)</f>
        <v/>
      </c>
      <c r="I525" s="33" t="str">
        <f>IF(Analysis!A437="","",Analysis!BK437)</f>
        <v/>
      </c>
    </row>
    <row r="526" spans="1:9" ht="14.25" customHeight="1" x14ac:dyDescent="0.25">
      <c r="A526" s="32" t="str">
        <f>IF(Analysis!A438="","",Analysis!A438)</f>
        <v/>
      </c>
      <c r="B526" s="33" t="str">
        <f>IF(Analysis!A438="","",Analysis!B438)</f>
        <v/>
      </c>
      <c r="C526" s="33" t="str">
        <f>IF(Analysis!A438="","",Analysis!C438)</f>
        <v/>
      </c>
      <c r="D526" s="33" t="str">
        <f>IF(Analysis!A438="","",Analysis!F438)</f>
        <v/>
      </c>
      <c r="E526" s="33" t="str">
        <f>IF(Analysis!A438="","",Analysis!BG438)</f>
        <v/>
      </c>
      <c r="F526" s="33" t="str">
        <f>IF(Analysis!A438="","",Analysis!AN438)</f>
        <v/>
      </c>
      <c r="G526" s="33" t="str">
        <f>IF(Analysis!A438="","",Analysis!BA438)</f>
        <v/>
      </c>
      <c r="H526" s="34" t="str">
        <f>IF(Analysis!A438="","",Analysis!BJ438)</f>
        <v/>
      </c>
      <c r="I526" s="33" t="str">
        <f>IF(Analysis!A438="","",Analysis!BK438)</f>
        <v/>
      </c>
    </row>
    <row r="527" spans="1:9" ht="14.25" customHeight="1" x14ac:dyDescent="0.25">
      <c r="A527" s="32" t="str">
        <f>IF(Analysis!A439="","",Analysis!A439)</f>
        <v/>
      </c>
      <c r="B527" s="33" t="str">
        <f>IF(Analysis!A439="","",Analysis!B439)</f>
        <v/>
      </c>
      <c r="C527" s="33" t="str">
        <f>IF(Analysis!A439="","",Analysis!C439)</f>
        <v/>
      </c>
      <c r="D527" s="33" t="str">
        <f>IF(Analysis!A439="","",Analysis!F439)</f>
        <v/>
      </c>
      <c r="E527" s="33" t="str">
        <f>IF(Analysis!A439="","",Analysis!BG439)</f>
        <v/>
      </c>
      <c r="F527" s="33" t="str">
        <f>IF(Analysis!A439="","",Analysis!AN439)</f>
        <v/>
      </c>
      <c r="G527" s="33" t="str">
        <f>IF(Analysis!A439="","",Analysis!BA439)</f>
        <v/>
      </c>
      <c r="H527" s="34" t="str">
        <f>IF(Analysis!A439="","",Analysis!BJ439)</f>
        <v/>
      </c>
      <c r="I527" s="33" t="str">
        <f>IF(Analysis!A439="","",Analysis!BK439)</f>
        <v/>
      </c>
    </row>
    <row r="528" spans="1:9" ht="14.25" customHeight="1" x14ac:dyDescent="0.25">
      <c r="A528" s="32" t="str">
        <f>IF(Analysis!A440="","",Analysis!A440)</f>
        <v/>
      </c>
      <c r="B528" s="33" t="str">
        <f>IF(Analysis!A440="","",Analysis!B440)</f>
        <v/>
      </c>
      <c r="C528" s="33" t="str">
        <f>IF(Analysis!A440="","",Analysis!C440)</f>
        <v/>
      </c>
      <c r="D528" s="33" t="str">
        <f>IF(Analysis!A440="","",Analysis!F440)</f>
        <v/>
      </c>
      <c r="E528" s="33" t="str">
        <f>IF(Analysis!A440="","",Analysis!BG440)</f>
        <v/>
      </c>
      <c r="F528" s="33" t="str">
        <f>IF(Analysis!A440="","",Analysis!AN440)</f>
        <v/>
      </c>
      <c r="G528" s="33" t="str">
        <f>IF(Analysis!A440="","",Analysis!BA440)</f>
        <v/>
      </c>
      <c r="H528" s="34" t="str">
        <f>IF(Analysis!A440="","",Analysis!BJ440)</f>
        <v/>
      </c>
      <c r="I528" s="33" t="str">
        <f>IF(Analysis!A440="","",Analysis!BK440)</f>
        <v/>
      </c>
    </row>
    <row r="529" spans="1:9" ht="14.25" customHeight="1" x14ac:dyDescent="0.25">
      <c r="A529" s="32" t="str">
        <f>IF(Analysis!A441="","",Analysis!A441)</f>
        <v/>
      </c>
      <c r="B529" s="33" t="str">
        <f>IF(Analysis!A441="","",Analysis!B441)</f>
        <v/>
      </c>
      <c r="C529" s="33" t="str">
        <f>IF(Analysis!A441="","",Analysis!C441)</f>
        <v/>
      </c>
      <c r="D529" s="33" t="str">
        <f>IF(Analysis!A441="","",Analysis!F441)</f>
        <v/>
      </c>
      <c r="E529" s="33" t="str">
        <f>IF(Analysis!A441="","",Analysis!BG441)</f>
        <v/>
      </c>
      <c r="F529" s="33" t="str">
        <f>IF(Analysis!A441="","",Analysis!AN441)</f>
        <v/>
      </c>
      <c r="G529" s="33" t="str">
        <f>IF(Analysis!A441="","",Analysis!BA441)</f>
        <v/>
      </c>
      <c r="H529" s="34" t="str">
        <f>IF(Analysis!A441="","",Analysis!BJ441)</f>
        <v/>
      </c>
      <c r="I529" s="33" t="str">
        <f>IF(Analysis!A441="","",Analysis!BK441)</f>
        <v/>
      </c>
    </row>
    <row r="530" spans="1:9" ht="14.25" customHeight="1" x14ac:dyDescent="0.25">
      <c r="A530" s="32" t="str">
        <f>IF(Analysis!A442="","",Analysis!A442)</f>
        <v/>
      </c>
      <c r="B530" s="33" t="str">
        <f>IF(Analysis!A442="","",Analysis!B442)</f>
        <v/>
      </c>
      <c r="C530" s="33" t="str">
        <f>IF(Analysis!A442="","",Analysis!C442)</f>
        <v/>
      </c>
      <c r="D530" s="33" t="str">
        <f>IF(Analysis!A442="","",Analysis!F442)</f>
        <v/>
      </c>
      <c r="E530" s="33" t="str">
        <f>IF(Analysis!A442="","",Analysis!BG442)</f>
        <v/>
      </c>
      <c r="F530" s="33" t="str">
        <f>IF(Analysis!A442="","",Analysis!AN442)</f>
        <v/>
      </c>
      <c r="G530" s="33" t="str">
        <f>IF(Analysis!A442="","",Analysis!BA442)</f>
        <v/>
      </c>
      <c r="H530" s="34" t="str">
        <f>IF(Analysis!A442="","",Analysis!BJ442)</f>
        <v/>
      </c>
      <c r="I530" s="33" t="str">
        <f>IF(Analysis!A442="","",Analysis!BK442)</f>
        <v/>
      </c>
    </row>
    <row r="531" spans="1:9" ht="14.25" customHeight="1" x14ac:dyDescent="0.25">
      <c r="A531" s="32" t="str">
        <f>IF(Analysis!A443="","",Analysis!A443)</f>
        <v/>
      </c>
      <c r="B531" s="33" t="str">
        <f>IF(Analysis!A443="","",Analysis!B443)</f>
        <v/>
      </c>
      <c r="C531" s="33" t="str">
        <f>IF(Analysis!A443="","",Analysis!C443)</f>
        <v/>
      </c>
      <c r="D531" s="33" t="str">
        <f>IF(Analysis!A443="","",Analysis!F443)</f>
        <v/>
      </c>
      <c r="E531" s="33" t="str">
        <f>IF(Analysis!A443="","",Analysis!BG443)</f>
        <v/>
      </c>
      <c r="F531" s="33" t="str">
        <f>IF(Analysis!A443="","",Analysis!AN443)</f>
        <v/>
      </c>
      <c r="G531" s="33" t="str">
        <f>IF(Analysis!A443="","",Analysis!BA443)</f>
        <v/>
      </c>
      <c r="H531" s="34" t="str">
        <f>IF(Analysis!A443="","",Analysis!BJ443)</f>
        <v/>
      </c>
      <c r="I531" s="33" t="str">
        <f>IF(Analysis!A443="","",Analysis!BK443)</f>
        <v/>
      </c>
    </row>
    <row r="532" spans="1:9" ht="14.25" customHeight="1" x14ac:dyDescent="0.25">
      <c r="A532" s="32" t="str">
        <f>IF(Analysis!A444="","",Analysis!A444)</f>
        <v/>
      </c>
      <c r="B532" s="33" t="str">
        <f>IF(Analysis!A444="","",Analysis!B444)</f>
        <v/>
      </c>
      <c r="C532" s="33" t="str">
        <f>IF(Analysis!A444="","",Analysis!C444)</f>
        <v/>
      </c>
      <c r="D532" s="33" t="str">
        <f>IF(Analysis!A444="","",Analysis!F444)</f>
        <v/>
      </c>
      <c r="E532" s="33" t="str">
        <f>IF(Analysis!A444="","",Analysis!BG444)</f>
        <v/>
      </c>
      <c r="F532" s="33" t="str">
        <f>IF(Analysis!A444="","",Analysis!AN444)</f>
        <v/>
      </c>
      <c r="G532" s="33" t="str">
        <f>IF(Analysis!A444="","",Analysis!BA444)</f>
        <v/>
      </c>
      <c r="H532" s="34" t="str">
        <f>IF(Analysis!A444="","",Analysis!BJ444)</f>
        <v/>
      </c>
      <c r="I532" s="33" t="str">
        <f>IF(Analysis!A444="","",Analysis!BK444)</f>
        <v/>
      </c>
    </row>
    <row r="533" spans="1:9" ht="14.25" customHeight="1" x14ac:dyDescent="0.25">
      <c r="A533" s="32" t="str">
        <f>IF(Analysis!A445="","",Analysis!A445)</f>
        <v/>
      </c>
      <c r="B533" s="33" t="str">
        <f>IF(Analysis!A445="","",Analysis!B445)</f>
        <v/>
      </c>
      <c r="C533" s="33" t="str">
        <f>IF(Analysis!A445="","",Analysis!C445)</f>
        <v/>
      </c>
      <c r="D533" s="33" t="str">
        <f>IF(Analysis!A445="","",Analysis!F445)</f>
        <v/>
      </c>
      <c r="E533" s="33" t="str">
        <f>IF(Analysis!A445="","",Analysis!BG445)</f>
        <v/>
      </c>
      <c r="F533" s="33" t="str">
        <f>IF(Analysis!A445="","",Analysis!AN445)</f>
        <v/>
      </c>
      <c r="G533" s="33" t="str">
        <f>IF(Analysis!A445="","",Analysis!BA445)</f>
        <v/>
      </c>
      <c r="H533" s="34" t="str">
        <f>IF(Analysis!A445="","",Analysis!BJ445)</f>
        <v/>
      </c>
      <c r="I533" s="33" t="str">
        <f>IF(Analysis!A445="","",Analysis!BK445)</f>
        <v/>
      </c>
    </row>
    <row r="534" spans="1:9" ht="14.25" customHeight="1" x14ac:dyDescent="0.25">
      <c r="A534" s="32" t="str">
        <f>IF(Analysis!A446="","",Analysis!A446)</f>
        <v/>
      </c>
      <c r="B534" s="33" t="str">
        <f>IF(Analysis!A446="","",Analysis!B446)</f>
        <v/>
      </c>
      <c r="C534" s="33" t="str">
        <f>IF(Analysis!A446="","",Analysis!C446)</f>
        <v/>
      </c>
      <c r="D534" s="33" t="str">
        <f>IF(Analysis!A446="","",Analysis!F446)</f>
        <v/>
      </c>
      <c r="E534" s="33" t="str">
        <f>IF(Analysis!A446="","",Analysis!BG446)</f>
        <v/>
      </c>
      <c r="F534" s="33" t="str">
        <f>IF(Analysis!A446="","",Analysis!AN446)</f>
        <v/>
      </c>
      <c r="G534" s="33" t="str">
        <f>IF(Analysis!A446="","",Analysis!BA446)</f>
        <v/>
      </c>
      <c r="H534" s="34" t="str">
        <f>IF(Analysis!A446="","",Analysis!BJ446)</f>
        <v/>
      </c>
      <c r="I534" s="33" t="str">
        <f>IF(Analysis!A446="","",Analysis!BK446)</f>
        <v/>
      </c>
    </row>
    <row r="535" spans="1:9" ht="14.25" customHeight="1" x14ac:dyDescent="0.25">
      <c r="A535" s="32" t="str">
        <f>IF(Analysis!A447="","",Analysis!A447)</f>
        <v/>
      </c>
      <c r="B535" s="33" t="str">
        <f>IF(Analysis!A447="","",Analysis!B447)</f>
        <v/>
      </c>
      <c r="C535" s="33" t="str">
        <f>IF(Analysis!A447="","",Analysis!C447)</f>
        <v/>
      </c>
      <c r="D535" s="33" t="str">
        <f>IF(Analysis!A447="","",Analysis!F447)</f>
        <v/>
      </c>
      <c r="E535" s="33" t="str">
        <f>IF(Analysis!A447="","",Analysis!BG447)</f>
        <v/>
      </c>
      <c r="F535" s="33" t="str">
        <f>IF(Analysis!A447="","",Analysis!AN447)</f>
        <v/>
      </c>
      <c r="G535" s="33" t="str">
        <f>IF(Analysis!A447="","",Analysis!BA447)</f>
        <v/>
      </c>
      <c r="H535" s="34" t="str">
        <f>IF(Analysis!A447="","",Analysis!BJ447)</f>
        <v/>
      </c>
      <c r="I535" s="33" t="str">
        <f>IF(Analysis!A447="","",Analysis!BK447)</f>
        <v/>
      </c>
    </row>
    <row r="536" spans="1:9" ht="14.25" customHeight="1" x14ac:dyDescent="0.25">
      <c r="A536" s="32" t="str">
        <f>IF(Analysis!A448="","",Analysis!A448)</f>
        <v/>
      </c>
      <c r="B536" s="33" t="str">
        <f>IF(Analysis!A448="","",Analysis!B448)</f>
        <v/>
      </c>
      <c r="C536" s="33" t="str">
        <f>IF(Analysis!A448="","",Analysis!C448)</f>
        <v/>
      </c>
      <c r="D536" s="33" t="str">
        <f>IF(Analysis!A448="","",Analysis!F448)</f>
        <v/>
      </c>
      <c r="E536" s="33" t="str">
        <f>IF(Analysis!A448="","",Analysis!BG448)</f>
        <v/>
      </c>
      <c r="F536" s="33" t="str">
        <f>IF(Analysis!A448="","",Analysis!AN448)</f>
        <v/>
      </c>
      <c r="G536" s="33" t="str">
        <f>IF(Analysis!A448="","",Analysis!BA448)</f>
        <v/>
      </c>
      <c r="H536" s="34" t="str">
        <f>IF(Analysis!A448="","",Analysis!BJ448)</f>
        <v/>
      </c>
      <c r="I536" s="33" t="str">
        <f>IF(Analysis!A448="","",Analysis!BK448)</f>
        <v/>
      </c>
    </row>
    <row r="537" spans="1:9" ht="14.25" customHeight="1" x14ac:dyDescent="0.25">
      <c r="A537" s="32" t="str">
        <f>IF(Analysis!A449="","",Analysis!A449)</f>
        <v/>
      </c>
      <c r="B537" s="33" t="str">
        <f>IF(Analysis!A449="","",Analysis!B449)</f>
        <v/>
      </c>
      <c r="C537" s="33" t="str">
        <f>IF(Analysis!A449="","",Analysis!C449)</f>
        <v/>
      </c>
      <c r="D537" s="33" t="str">
        <f>IF(Analysis!A449="","",Analysis!F449)</f>
        <v/>
      </c>
      <c r="E537" s="33" t="str">
        <f>IF(Analysis!A449="","",Analysis!BG449)</f>
        <v/>
      </c>
      <c r="F537" s="33" t="str">
        <f>IF(Analysis!A449="","",Analysis!AN449)</f>
        <v/>
      </c>
      <c r="G537" s="33" t="str">
        <f>IF(Analysis!A449="","",Analysis!BA449)</f>
        <v/>
      </c>
      <c r="H537" s="34" t="str">
        <f>IF(Analysis!A449="","",Analysis!BJ449)</f>
        <v/>
      </c>
      <c r="I537" s="33" t="str">
        <f>IF(Analysis!A449="","",Analysis!BK449)</f>
        <v/>
      </c>
    </row>
    <row r="538" spans="1:9" ht="14.25" customHeight="1" x14ac:dyDescent="0.25">
      <c r="A538" s="32" t="str">
        <f>IF(Analysis!A450="","",Analysis!A450)</f>
        <v/>
      </c>
      <c r="B538" s="33" t="str">
        <f>IF(Analysis!A450="","",Analysis!B450)</f>
        <v/>
      </c>
      <c r="C538" s="33" t="str">
        <f>IF(Analysis!A450="","",Analysis!C450)</f>
        <v/>
      </c>
      <c r="D538" s="33" t="str">
        <f>IF(Analysis!A450="","",Analysis!F450)</f>
        <v/>
      </c>
      <c r="E538" s="33" t="str">
        <f>IF(Analysis!A450="","",Analysis!BG450)</f>
        <v/>
      </c>
      <c r="F538" s="33" t="str">
        <f>IF(Analysis!A450="","",Analysis!AN450)</f>
        <v/>
      </c>
      <c r="G538" s="33" t="str">
        <f>IF(Analysis!A450="","",Analysis!BA450)</f>
        <v/>
      </c>
      <c r="H538" s="34" t="str">
        <f>IF(Analysis!A450="","",Analysis!BJ450)</f>
        <v/>
      </c>
      <c r="I538" s="33" t="str">
        <f>IF(Analysis!A450="","",Analysis!BK450)</f>
        <v/>
      </c>
    </row>
    <row r="539" spans="1:9" ht="14.25" customHeight="1" x14ac:dyDescent="0.25">
      <c r="A539" s="32" t="str">
        <f>IF(Analysis!A451="","",Analysis!A451)</f>
        <v/>
      </c>
      <c r="B539" s="33" t="str">
        <f>IF(Analysis!A451="","",Analysis!B451)</f>
        <v/>
      </c>
      <c r="C539" s="33" t="str">
        <f>IF(Analysis!A451="","",Analysis!C451)</f>
        <v/>
      </c>
      <c r="D539" s="33" t="str">
        <f>IF(Analysis!A451="","",Analysis!F451)</f>
        <v/>
      </c>
      <c r="E539" s="33" t="str">
        <f>IF(Analysis!A451="","",Analysis!BG451)</f>
        <v/>
      </c>
      <c r="F539" s="33" t="str">
        <f>IF(Analysis!A451="","",Analysis!AN451)</f>
        <v/>
      </c>
      <c r="G539" s="33" t="str">
        <f>IF(Analysis!A451="","",Analysis!BA451)</f>
        <v/>
      </c>
      <c r="H539" s="34" t="str">
        <f>IF(Analysis!A451="","",Analysis!BJ451)</f>
        <v/>
      </c>
      <c r="I539" s="33" t="str">
        <f>IF(Analysis!A451="","",Analysis!BK451)</f>
        <v/>
      </c>
    </row>
    <row r="540" spans="1:9" ht="14.25" customHeight="1" x14ac:dyDescent="0.25">
      <c r="A540" s="32" t="str">
        <f>IF(Analysis!A452="","",Analysis!A452)</f>
        <v/>
      </c>
      <c r="B540" s="33" t="str">
        <f>IF(Analysis!A452="","",Analysis!B452)</f>
        <v/>
      </c>
      <c r="C540" s="33" t="str">
        <f>IF(Analysis!A452="","",Analysis!C452)</f>
        <v/>
      </c>
      <c r="D540" s="33" t="str">
        <f>IF(Analysis!A452="","",Analysis!F452)</f>
        <v/>
      </c>
      <c r="E540" s="33" t="str">
        <f>IF(Analysis!A452="","",Analysis!BG452)</f>
        <v/>
      </c>
      <c r="F540" s="33" t="str">
        <f>IF(Analysis!A452="","",Analysis!AN452)</f>
        <v/>
      </c>
      <c r="G540" s="33" t="str">
        <f>IF(Analysis!A452="","",Analysis!BA452)</f>
        <v/>
      </c>
      <c r="H540" s="34" t="str">
        <f>IF(Analysis!A452="","",Analysis!BJ452)</f>
        <v/>
      </c>
      <c r="I540" s="33" t="str">
        <f>IF(Analysis!A452="","",Analysis!BK452)</f>
        <v/>
      </c>
    </row>
    <row r="541" spans="1:9" ht="14.25" customHeight="1" x14ac:dyDescent="0.25">
      <c r="A541" s="32" t="str">
        <f>IF(Analysis!A453="","",Analysis!A453)</f>
        <v/>
      </c>
      <c r="B541" s="33" t="str">
        <f>IF(Analysis!A453="","",Analysis!B453)</f>
        <v/>
      </c>
      <c r="C541" s="33" t="str">
        <f>IF(Analysis!A453="","",Analysis!C453)</f>
        <v/>
      </c>
      <c r="D541" s="33" t="str">
        <f>IF(Analysis!A453="","",Analysis!F453)</f>
        <v/>
      </c>
      <c r="E541" s="33" t="str">
        <f>IF(Analysis!A453="","",Analysis!BG453)</f>
        <v/>
      </c>
      <c r="F541" s="33" t="str">
        <f>IF(Analysis!A453="","",Analysis!AN453)</f>
        <v/>
      </c>
      <c r="G541" s="33" t="str">
        <f>IF(Analysis!A453="","",Analysis!BA453)</f>
        <v/>
      </c>
      <c r="H541" s="34" t="str">
        <f>IF(Analysis!A453="","",Analysis!BJ453)</f>
        <v/>
      </c>
      <c r="I541" s="33" t="str">
        <f>IF(Analysis!A453="","",Analysis!BK453)</f>
        <v/>
      </c>
    </row>
    <row r="542" spans="1:9" ht="14.25" customHeight="1" x14ac:dyDescent="0.25">
      <c r="A542" s="32" t="str">
        <f>IF(Analysis!A454="","",Analysis!A454)</f>
        <v/>
      </c>
      <c r="B542" s="33" t="str">
        <f>IF(Analysis!A454="","",Analysis!B454)</f>
        <v/>
      </c>
      <c r="C542" s="33" t="str">
        <f>IF(Analysis!A454="","",Analysis!C454)</f>
        <v/>
      </c>
      <c r="D542" s="33" t="str">
        <f>IF(Analysis!A454="","",Analysis!F454)</f>
        <v/>
      </c>
      <c r="E542" s="33" t="str">
        <f>IF(Analysis!A454="","",Analysis!BG454)</f>
        <v/>
      </c>
      <c r="F542" s="33" t="str">
        <f>IF(Analysis!A454="","",Analysis!AN454)</f>
        <v/>
      </c>
      <c r="G542" s="33" t="str">
        <f>IF(Analysis!A454="","",Analysis!BA454)</f>
        <v/>
      </c>
      <c r="H542" s="34" t="str">
        <f>IF(Analysis!A454="","",Analysis!BJ454)</f>
        <v/>
      </c>
      <c r="I542" s="33" t="str">
        <f>IF(Analysis!A454="","",Analysis!BK454)</f>
        <v/>
      </c>
    </row>
    <row r="543" spans="1:9" ht="14.25" customHeight="1" x14ac:dyDescent="0.25">
      <c r="A543" s="32" t="str">
        <f>IF(Analysis!A455="","",Analysis!A455)</f>
        <v/>
      </c>
      <c r="B543" s="33" t="str">
        <f>IF(Analysis!A455="","",Analysis!B455)</f>
        <v/>
      </c>
      <c r="C543" s="33" t="str">
        <f>IF(Analysis!A455="","",Analysis!C455)</f>
        <v/>
      </c>
      <c r="D543" s="33" t="str">
        <f>IF(Analysis!A455="","",Analysis!F455)</f>
        <v/>
      </c>
      <c r="E543" s="33" t="str">
        <f>IF(Analysis!A455="","",Analysis!BG455)</f>
        <v/>
      </c>
      <c r="F543" s="33" t="str">
        <f>IF(Analysis!A455="","",Analysis!AN455)</f>
        <v/>
      </c>
      <c r="G543" s="33" t="str">
        <f>IF(Analysis!A455="","",Analysis!BA455)</f>
        <v/>
      </c>
      <c r="H543" s="34" t="str">
        <f>IF(Analysis!A455="","",Analysis!BJ455)</f>
        <v/>
      </c>
      <c r="I543" s="33" t="str">
        <f>IF(Analysis!A455="","",Analysis!BK455)</f>
        <v/>
      </c>
    </row>
    <row r="544" spans="1:9" ht="14.25" customHeight="1" x14ac:dyDescent="0.25">
      <c r="A544" s="32" t="str">
        <f>IF(Analysis!A456="","",Analysis!A456)</f>
        <v/>
      </c>
      <c r="B544" s="33" t="str">
        <f>IF(Analysis!A456="","",Analysis!B456)</f>
        <v/>
      </c>
      <c r="C544" s="33" t="str">
        <f>IF(Analysis!A456="","",Analysis!C456)</f>
        <v/>
      </c>
      <c r="D544" s="33" t="str">
        <f>IF(Analysis!A456="","",Analysis!F456)</f>
        <v/>
      </c>
      <c r="E544" s="33" t="str">
        <f>IF(Analysis!A456="","",Analysis!BG456)</f>
        <v/>
      </c>
      <c r="F544" s="33" t="str">
        <f>IF(Analysis!A456="","",Analysis!AN456)</f>
        <v/>
      </c>
      <c r="G544" s="33" t="str">
        <f>IF(Analysis!A456="","",Analysis!BA456)</f>
        <v/>
      </c>
      <c r="H544" s="34" t="str">
        <f>IF(Analysis!A456="","",Analysis!BJ456)</f>
        <v/>
      </c>
      <c r="I544" s="33" t="str">
        <f>IF(Analysis!A456="","",Analysis!BK456)</f>
        <v/>
      </c>
    </row>
    <row r="545" spans="1:9" ht="14.25" customHeight="1" x14ac:dyDescent="0.25">
      <c r="A545" s="32" t="str">
        <f>IF(Analysis!A457="","",Analysis!A457)</f>
        <v/>
      </c>
      <c r="B545" s="33" t="str">
        <f>IF(Analysis!A457="","",Analysis!B457)</f>
        <v/>
      </c>
      <c r="C545" s="33" t="str">
        <f>IF(Analysis!A457="","",Analysis!C457)</f>
        <v/>
      </c>
      <c r="D545" s="33" t="str">
        <f>IF(Analysis!A457="","",Analysis!F457)</f>
        <v/>
      </c>
      <c r="E545" s="33" t="str">
        <f>IF(Analysis!A457="","",Analysis!BG457)</f>
        <v/>
      </c>
      <c r="F545" s="33" t="str">
        <f>IF(Analysis!A457="","",Analysis!AN457)</f>
        <v/>
      </c>
      <c r="G545" s="33" t="str">
        <f>IF(Analysis!A457="","",Analysis!BA457)</f>
        <v/>
      </c>
      <c r="H545" s="34" t="str">
        <f>IF(Analysis!A457="","",Analysis!BJ457)</f>
        <v/>
      </c>
      <c r="I545" s="33" t="str">
        <f>IF(Analysis!A457="","",Analysis!BK457)</f>
        <v/>
      </c>
    </row>
    <row r="546" spans="1:9" ht="14.25" customHeight="1" x14ac:dyDescent="0.25">
      <c r="A546" s="32" t="str">
        <f>IF(Analysis!A458="","",Analysis!A458)</f>
        <v/>
      </c>
      <c r="B546" s="33" t="str">
        <f>IF(Analysis!A458="","",Analysis!B458)</f>
        <v/>
      </c>
      <c r="C546" s="33" t="str">
        <f>IF(Analysis!A458="","",Analysis!C458)</f>
        <v/>
      </c>
      <c r="D546" s="33" t="str">
        <f>IF(Analysis!A458="","",Analysis!F458)</f>
        <v/>
      </c>
      <c r="E546" s="33" t="str">
        <f>IF(Analysis!A458="","",Analysis!BG458)</f>
        <v/>
      </c>
      <c r="F546" s="33" t="str">
        <f>IF(Analysis!A458="","",Analysis!AN458)</f>
        <v/>
      </c>
      <c r="G546" s="33" t="str">
        <f>IF(Analysis!A458="","",Analysis!BA458)</f>
        <v/>
      </c>
      <c r="H546" s="34" t="str">
        <f>IF(Analysis!A458="","",Analysis!BJ458)</f>
        <v/>
      </c>
      <c r="I546" s="33" t="str">
        <f>IF(Analysis!A458="","",Analysis!BK458)</f>
        <v/>
      </c>
    </row>
    <row r="547" spans="1:9" ht="14.25" customHeight="1" x14ac:dyDescent="0.25">
      <c r="A547" s="32" t="str">
        <f>IF(Analysis!A459="","",Analysis!A459)</f>
        <v/>
      </c>
      <c r="B547" s="33" t="str">
        <f>IF(Analysis!A459="","",Analysis!B459)</f>
        <v/>
      </c>
      <c r="C547" s="33" t="str">
        <f>IF(Analysis!A459="","",Analysis!C459)</f>
        <v/>
      </c>
      <c r="D547" s="33" t="str">
        <f>IF(Analysis!A459="","",Analysis!F459)</f>
        <v/>
      </c>
      <c r="E547" s="33" t="str">
        <f>IF(Analysis!A459="","",Analysis!BG459)</f>
        <v/>
      </c>
      <c r="F547" s="33" t="str">
        <f>IF(Analysis!A459="","",Analysis!AN459)</f>
        <v/>
      </c>
      <c r="G547" s="33" t="str">
        <f>IF(Analysis!A459="","",Analysis!BA459)</f>
        <v/>
      </c>
      <c r="H547" s="34" t="str">
        <f>IF(Analysis!A459="","",Analysis!BJ459)</f>
        <v/>
      </c>
      <c r="I547" s="33" t="str">
        <f>IF(Analysis!A459="","",Analysis!BK459)</f>
        <v/>
      </c>
    </row>
    <row r="548" spans="1:9" ht="14.25" customHeight="1" x14ac:dyDescent="0.25">
      <c r="A548" s="32" t="str">
        <f>IF(Analysis!A460="","",Analysis!A460)</f>
        <v/>
      </c>
      <c r="B548" s="33" t="str">
        <f>IF(Analysis!A460="","",Analysis!B460)</f>
        <v/>
      </c>
      <c r="C548" s="33" t="str">
        <f>IF(Analysis!A460="","",Analysis!C460)</f>
        <v/>
      </c>
      <c r="D548" s="33" t="str">
        <f>IF(Analysis!A460="","",Analysis!F460)</f>
        <v/>
      </c>
      <c r="E548" s="33" t="str">
        <f>IF(Analysis!A460="","",Analysis!BG460)</f>
        <v/>
      </c>
      <c r="F548" s="33" t="str">
        <f>IF(Analysis!A460="","",Analysis!AN460)</f>
        <v/>
      </c>
      <c r="G548" s="33" t="str">
        <f>IF(Analysis!A460="","",Analysis!BA460)</f>
        <v/>
      </c>
      <c r="H548" s="34" t="str">
        <f>IF(Analysis!A460="","",Analysis!BJ460)</f>
        <v/>
      </c>
      <c r="I548" s="33" t="str">
        <f>IF(Analysis!A460="","",Analysis!BK460)</f>
        <v/>
      </c>
    </row>
    <row r="549" spans="1:9" ht="14.25" customHeight="1" x14ac:dyDescent="0.25">
      <c r="A549" s="32" t="str">
        <f>IF(Analysis!A461="","",Analysis!A461)</f>
        <v/>
      </c>
      <c r="B549" s="33" t="str">
        <f>IF(Analysis!A461="","",Analysis!B461)</f>
        <v/>
      </c>
      <c r="C549" s="33" t="str">
        <f>IF(Analysis!A461="","",Analysis!C461)</f>
        <v/>
      </c>
      <c r="D549" s="33" t="str">
        <f>IF(Analysis!A461="","",Analysis!F461)</f>
        <v/>
      </c>
      <c r="E549" s="33" t="str">
        <f>IF(Analysis!A461="","",Analysis!BG461)</f>
        <v/>
      </c>
      <c r="F549" s="33" t="str">
        <f>IF(Analysis!A461="","",Analysis!AN461)</f>
        <v/>
      </c>
      <c r="G549" s="33" t="str">
        <f>IF(Analysis!A461="","",Analysis!BA461)</f>
        <v/>
      </c>
      <c r="H549" s="34" t="str">
        <f>IF(Analysis!A461="","",Analysis!BJ461)</f>
        <v/>
      </c>
      <c r="I549" s="33" t="str">
        <f>IF(Analysis!A461="","",Analysis!BK461)</f>
        <v/>
      </c>
    </row>
    <row r="550" spans="1:9" ht="14.25" customHeight="1" x14ac:dyDescent="0.25">
      <c r="A550" s="32" t="str">
        <f>IF(Analysis!A462="","",Analysis!A462)</f>
        <v/>
      </c>
      <c r="B550" s="33" t="str">
        <f>IF(Analysis!A462="","",Analysis!B462)</f>
        <v/>
      </c>
      <c r="C550" s="33" t="str">
        <f>IF(Analysis!A462="","",Analysis!C462)</f>
        <v/>
      </c>
      <c r="D550" s="33" t="str">
        <f>IF(Analysis!A462="","",Analysis!F462)</f>
        <v/>
      </c>
      <c r="E550" s="33" t="str">
        <f>IF(Analysis!A462="","",Analysis!BG462)</f>
        <v/>
      </c>
      <c r="F550" s="33" t="str">
        <f>IF(Analysis!A462="","",Analysis!AN462)</f>
        <v/>
      </c>
      <c r="G550" s="33" t="str">
        <f>IF(Analysis!A462="","",Analysis!BA462)</f>
        <v/>
      </c>
      <c r="H550" s="34" t="str">
        <f>IF(Analysis!A462="","",Analysis!BJ462)</f>
        <v/>
      </c>
      <c r="I550" s="33" t="str">
        <f>IF(Analysis!A462="","",Analysis!BK462)</f>
        <v/>
      </c>
    </row>
    <row r="551" spans="1:9" ht="14.25" customHeight="1" x14ac:dyDescent="0.25">
      <c r="A551" s="32" t="str">
        <f>IF(Analysis!A463="","",Analysis!A463)</f>
        <v/>
      </c>
      <c r="B551" s="33" t="str">
        <f>IF(Analysis!A463="","",Analysis!B463)</f>
        <v/>
      </c>
      <c r="C551" s="33" t="str">
        <f>IF(Analysis!A463="","",Analysis!C463)</f>
        <v/>
      </c>
      <c r="D551" s="33" t="str">
        <f>IF(Analysis!A463="","",Analysis!F463)</f>
        <v/>
      </c>
      <c r="E551" s="33" t="str">
        <f>IF(Analysis!A463="","",Analysis!BG463)</f>
        <v/>
      </c>
      <c r="F551" s="33" t="str">
        <f>IF(Analysis!A463="","",Analysis!AN463)</f>
        <v/>
      </c>
      <c r="G551" s="33" t="str">
        <f>IF(Analysis!A463="","",Analysis!BA463)</f>
        <v/>
      </c>
      <c r="H551" s="34" t="str">
        <f>IF(Analysis!A463="","",Analysis!BJ463)</f>
        <v/>
      </c>
      <c r="I551" s="33" t="str">
        <f>IF(Analysis!A463="","",Analysis!BK463)</f>
        <v/>
      </c>
    </row>
    <row r="552" spans="1:9" ht="14.25" customHeight="1" x14ac:dyDescent="0.25">
      <c r="A552" s="32" t="str">
        <f>IF(Analysis!A464="","",Analysis!A464)</f>
        <v/>
      </c>
      <c r="B552" s="33" t="str">
        <f>IF(Analysis!A464="","",Analysis!B464)</f>
        <v/>
      </c>
      <c r="C552" s="33" t="str">
        <f>IF(Analysis!A464="","",Analysis!C464)</f>
        <v/>
      </c>
      <c r="D552" s="33" t="str">
        <f>IF(Analysis!A464="","",Analysis!F464)</f>
        <v/>
      </c>
      <c r="E552" s="33" t="str">
        <f>IF(Analysis!A464="","",Analysis!BG464)</f>
        <v/>
      </c>
      <c r="F552" s="33" t="str">
        <f>IF(Analysis!A464="","",Analysis!AN464)</f>
        <v/>
      </c>
      <c r="G552" s="33" t="str">
        <f>IF(Analysis!A464="","",Analysis!BA464)</f>
        <v/>
      </c>
      <c r="H552" s="34" t="str">
        <f>IF(Analysis!A464="","",Analysis!BJ464)</f>
        <v/>
      </c>
      <c r="I552" s="33" t="str">
        <f>IF(Analysis!A464="","",Analysis!BK464)</f>
        <v/>
      </c>
    </row>
    <row r="553" spans="1:9" ht="14.25" customHeight="1" x14ac:dyDescent="0.25">
      <c r="A553" s="32" t="str">
        <f>IF(Analysis!A465="","",Analysis!A465)</f>
        <v/>
      </c>
      <c r="B553" s="33" t="str">
        <f>IF(Analysis!A465="","",Analysis!B465)</f>
        <v/>
      </c>
      <c r="C553" s="33" t="str">
        <f>IF(Analysis!A465="","",Analysis!C465)</f>
        <v/>
      </c>
      <c r="D553" s="33" t="str">
        <f>IF(Analysis!A465="","",Analysis!F465)</f>
        <v/>
      </c>
      <c r="E553" s="33" t="str">
        <f>IF(Analysis!A465="","",Analysis!BG465)</f>
        <v/>
      </c>
      <c r="F553" s="33" t="str">
        <f>IF(Analysis!A465="","",Analysis!AN465)</f>
        <v/>
      </c>
      <c r="G553" s="33" t="str">
        <f>IF(Analysis!A465="","",Analysis!BA465)</f>
        <v/>
      </c>
      <c r="H553" s="34" t="str">
        <f>IF(Analysis!A465="","",Analysis!BJ465)</f>
        <v/>
      </c>
      <c r="I553" s="33" t="str">
        <f>IF(Analysis!A465="","",Analysis!BK465)</f>
        <v/>
      </c>
    </row>
    <row r="554" spans="1:9" ht="14.25" customHeight="1" x14ac:dyDescent="0.25">
      <c r="A554" s="32" t="str">
        <f>IF(Analysis!A466="","",Analysis!A466)</f>
        <v/>
      </c>
      <c r="B554" s="33" t="str">
        <f>IF(Analysis!A466="","",Analysis!B466)</f>
        <v/>
      </c>
      <c r="C554" s="33" t="str">
        <f>IF(Analysis!A466="","",Analysis!C466)</f>
        <v/>
      </c>
      <c r="D554" s="33" t="str">
        <f>IF(Analysis!A466="","",Analysis!F466)</f>
        <v/>
      </c>
      <c r="E554" s="33" t="str">
        <f>IF(Analysis!A466="","",Analysis!BG466)</f>
        <v/>
      </c>
      <c r="F554" s="33" t="str">
        <f>IF(Analysis!A466="","",Analysis!AN466)</f>
        <v/>
      </c>
      <c r="G554" s="33" t="str">
        <f>IF(Analysis!A466="","",Analysis!BA466)</f>
        <v/>
      </c>
      <c r="H554" s="34" t="str">
        <f>IF(Analysis!A466="","",Analysis!BJ466)</f>
        <v/>
      </c>
      <c r="I554" s="33" t="str">
        <f>IF(Analysis!A466="","",Analysis!BK466)</f>
        <v/>
      </c>
    </row>
    <row r="555" spans="1:9" ht="14.25" customHeight="1" x14ac:dyDescent="0.25">
      <c r="A555" s="32" t="str">
        <f>IF(Analysis!A467="","",Analysis!A467)</f>
        <v/>
      </c>
      <c r="B555" s="33" t="str">
        <f>IF(Analysis!A467="","",Analysis!B467)</f>
        <v/>
      </c>
      <c r="C555" s="33" t="str">
        <f>IF(Analysis!A467="","",Analysis!C467)</f>
        <v/>
      </c>
      <c r="D555" s="33" t="str">
        <f>IF(Analysis!A467="","",Analysis!F467)</f>
        <v/>
      </c>
      <c r="E555" s="33" t="str">
        <f>IF(Analysis!A467="","",Analysis!BG467)</f>
        <v/>
      </c>
      <c r="F555" s="33" t="str">
        <f>IF(Analysis!A467="","",Analysis!AN467)</f>
        <v/>
      </c>
      <c r="G555" s="33" t="str">
        <f>IF(Analysis!A467="","",Analysis!BA467)</f>
        <v/>
      </c>
      <c r="H555" s="34" t="str">
        <f>IF(Analysis!A467="","",Analysis!BJ467)</f>
        <v/>
      </c>
      <c r="I555" s="33" t="str">
        <f>IF(Analysis!A467="","",Analysis!BK467)</f>
        <v/>
      </c>
    </row>
    <row r="556" spans="1:9" ht="14.25" customHeight="1" x14ac:dyDescent="0.25">
      <c r="A556" s="32" t="str">
        <f>IF(Analysis!A468="","",Analysis!A468)</f>
        <v/>
      </c>
      <c r="B556" s="33" t="str">
        <f>IF(Analysis!A468="","",Analysis!B468)</f>
        <v/>
      </c>
      <c r="C556" s="33" t="str">
        <f>IF(Analysis!A468="","",Analysis!C468)</f>
        <v/>
      </c>
      <c r="D556" s="33" t="str">
        <f>IF(Analysis!A468="","",Analysis!F468)</f>
        <v/>
      </c>
      <c r="E556" s="33" t="str">
        <f>IF(Analysis!A468="","",Analysis!BG468)</f>
        <v/>
      </c>
      <c r="F556" s="33" t="str">
        <f>IF(Analysis!A468="","",Analysis!AN468)</f>
        <v/>
      </c>
      <c r="G556" s="33" t="str">
        <f>IF(Analysis!A468="","",Analysis!BA468)</f>
        <v/>
      </c>
      <c r="H556" s="34" t="str">
        <f>IF(Analysis!A468="","",Analysis!BJ468)</f>
        <v/>
      </c>
      <c r="I556" s="33" t="str">
        <f>IF(Analysis!A468="","",Analysis!BK468)</f>
        <v/>
      </c>
    </row>
    <row r="557" spans="1:9" ht="14.25" customHeight="1" x14ac:dyDescent="0.25">
      <c r="A557" s="32" t="str">
        <f>IF(Analysis!A469="","",Analysis!A469)</f>
        <v/>
      </c>
      <c r="B557" s="33" t="str">
        <f>IF(Analysis!A469="","",Analysis!B469)</f>
        <v/>
      </c>
      <c r="C557" s="33" t="str">
        <f>IF(Analysis!A469="","",Analysis!C469)</f>
        <v/>
      </c>
      <c r="D557" s="33" t="str">
        <f>IF(Analysis!A469="","",Analysis!F469)</f>
        <v/>
      </c>
      <c r="E557" s="33" t="str">
        <f>IF(Analysis!A469="","",Analysis!BG469)</f>
        <v/>
      </c>
      <c r="F557" s="33" t="str">
        <f>IF(Analysis!A469="","",Analysis!AN469)</f>
        <v/>
      </c>
      <c r="G557" s="33" t="str">
        <f>IF(Analysis!A469="","",Analysis!BA469)</f>
        <v/>
      </c>
      <c r="H557" s="34" t="str">
        <f>IF(Analysis!A469="","",Analysis!BJ469)</f>
        <v/>
      </c>
      <c r="I557" s="33" t="str">
        <f>IF(Analysis!A469="","",Analysis!BK469)</f>
        <v/>
      </c>
    </row>
    <row r="558" spans="1:9" ht="14.25" customHeight="1" x14ac:dyDescent="0.25">
      <c r="A558" s="32" t="str">
        <f>IF(Analysis!A470="","",Analysis!A470)</f>
        <v/>
      </c>
      <c r="B558" s="33" t="str">
        <f>IF(Analysis!A470="","",Analysis!B470)</f>
        <v/>
      </c>
      <c r="C558" s="33" t="str">
        <f>IF(Analysis!A470="","",Analysis!C470)</f>
        <v/>
      </c>
      <c r="D558" s="33" t="str">
        <f>IF(Analysis!A470="","",Analysis!F470)</f>
        <v/>
      </c>
      <c r="E558" s="33" t="str">
        <f>IF(Analysis!A470="","",Analysis!BG470)</f>
        <v/>
      </c>
      <c r="F558" s="33" t="str">
        <f>IF(Analysis!A470="","",Analysis!AN470)</f>
        <v/>
      </c>
      <c r="G558" s="33" t="str">
        <f>IF(Analysis!A470="","",Analysis!BA470)</f>
        <v/>
      </c>
      <c r="H558" s="34" t="str">
        <f>IF(Analysis!A470="","",Analysis!BJ470)</f>
        <v/>
      </c>
      <c r="I558" s="33" t="str">
        <f>IF(Analysis!A470="","",Analysis!BK470)</f>
        <v/>
      </c>
    </row>
    <row r="559" spans="1:9" ht="14.25" customHeight="1" x14ac:dyDescent="0.25">
      <c r="A559" s="32" t="str">
        <f>IF(Analysis!A471="","",Analysis!A471)</f>
        <v/>
      </c>
      <c r="B559" s="33" t="str">
        <f>IF(Analysis!A471="","",Analysis!B471)</f>
        <v/>
      </c>
      <c r="C559" s="33" t="str">
        <f>IF(Analysis!A471="","",Analysis!C471)</f>
        <v/>
      </c>
      <c r="D559" s="33" t="str">
        <f>IF(Analysis!A471="","",Analysis!F471)</f>
        <v/>
      </c>
      <c r="E559" s="33" t="str">
        <f>IF(Analysis!A471="","",Analysis!BG471)</f>
        <v/>
      </c>
      <c r="F559" s="33" t="str">
        <f>IF(Analysis!A471="","",Analysis!AN471)</f>
        <v/>
      </c>
      <c r="G559" s="33" t="str">
        <f>IF(Analysis!A471="","",Analysis!BA471)</f>
        <v/>
      </c>
      <c r="H559" s="34" t="str">
        <f>IF(Analysis!A471="","",Analysis!BJ471)</f>
        <v/>
      </c>
      <c r="I559" s="33" t="str">
        <f>IF(Analysis!A471="","",Analysis!BK471)</f>
        <v/>
      </c>
    </row>
    <row r="560" spans="1:9" ht="14.25" customHeight="1" x14ac:dyDescent="0.25">
      <c r="A560" s="32" t="str">
        <f>IF(Analysis!A472="","",Analysis!A472)</f>
        <v/>
      </c>
      <c r="B560" s="33" t="str">
        <f>IF(Analysis!A472="","",Analysis!B472)</f>
        <v/>
      </c>
      <c r="C560" s="33" t="str">
        <f>IF(Analysis!A472="","",Analysis!C472)</f>
        <v/>
      </c>
      <c r="D560" s="33" t="str">
        <f>IF(Analysis!A472="","",Analysis!F472)</f>
        <v/>
      </c>
      <c r="E560" s="33" t="str">
        <f>IF(Analysis!A472="","",Analysis!BG472)</f>
        <v/>
      </c>
      <c r="F560" s="33" t="str">
        <f>IF(Analysis!A472="","",Analysis!AN472)</f>
        <v/>
      </c>
      <c r="G560" s="33" t="str">
        <f>IF(Analysis!A472="","",Analysis!BA472)</f>
        <v/>
      </c>
      <c r="H560" s="34" t="str">
        <f>IF(Analysis!A472="","",Analysis!BJ472)</f>
        <v/>
      </c>
      <c r="I560" s="33" t="str">
        <f>IF(Analysis!A472="","",Analysis!BK472)</f>
        <v/>
      </c>
    </row>
    <row r="561" spans="1:9" ht="14.25" customHeight="1" x14ac:dyDescent="0.25">
      <c r="A561" s="32" t="str">
        <f>IF(Analysis!A473="","",Analysis!A473)</f>
        <v/>
      </c>
      <c r="B561" s="33" t="str">
        <f>IF(Analysis!A473="","",Analysis!B473)</f>
        <v/>
      </c>
      <c r="C561" s="33" t="str">
        <f>IF(Analysis!A473="","",Analysis!C473)</f>
        <v/>
      </c>
      <c r="D561" s="33" t="str">
        <f>IF(Analysis!A473="","",Analysis!F473)</f>
        <v/>
      </c>
      <c r="E561" s="33" t="str">
        <f>IF(Analysis!A473="","",Analysis!BG473)</f>
        <v/>
      </c>
      <c r="F561" s="33" t="str">
        <f>IF(Analysis!A473="","",Analysis!AN473)</f>
        <v/>
      </c>
      <c r="G561" s="33" t="str">
        <f>IF(Analysis!A473="","",Analysis!BA473)</f>
        <v/>
      </c>
      <c r="H561" s="34" t="str">
        <f>IF(Analysis!A473="","",Analysis!BJ473)</f>
        <v/>
      </c>
      <c r="I561" s="33" t="str">
        <f>IF(Analysis!A473="","",Analysis!BK473)</f>
        <v/>
      </c>
    </row>
    <row r="562" spans="1:9" ht="14.25" customHeight="1" x14ac:dyDescent="0.25">
      <c r="A562" s="32" t="str">
        <f>IF(Analysis!A474="","",Analysis!A474)</f>
        <v/>
      </c>
      <c r="B562" s="33" t="str">
        <f>IF(Analysis!A474="","",Analysis!B474)</f>
        <v/>
      </c>
      <c r="C562" s="33" t="str">
        <f>IF(Analysis!A474="","",Analysis!C474)</f>
        <v/>
      </c>
      <c r="D562" s="33" t="str">
        <f>IF(Analysis!A474="","",Analysis!F474)</f>
        <v/>
      </c>
      <c r="E562" s="33" t="str">
        <f>IF(Analysis!A474="","",Analysis!BG474)</f>
        <v/>
      </c>
      <c r="F562" s="33" t="str">
        <f>IF(Analysis!A474="","",Analysis!AN474)</f>
        <v/>
      </c>
      <c r="G562" s="33" t="str">
        <f>IF(Analysis!A474="","",Analysis!BA474)</f>
        <v/>
      </c>
      <c r="H562" s="34" t="str">
        <f>IF(Analysis!A474="","",Analysis!BJ474)</f>
        <v/>
      </c>
      <c r="I562" s="33" t="str">
        <f>IF(Analysis!A474="","",Analysis!BK474)</f>
        <v/>
      </c>
    </row>
    <row r="563" spans="1:9" ht="14.25" customHeight="1" x14ac:dyDescent="0.25">
      <c r="A563" s="32" t="str">
        <f>IF(Analysis!A475="","",Analysis!A475)</f>
        <v/>
      </c>
      <c r="B563" s="33" t="str">
        <f>IF(Analysis!A475="","",Analysis!B475)</f>
        <v/>
      </c>
      <c r="C563" s="33" t="str">
        <f>IF(Analysis!A475="","",Analysis!C475)</f>
        <v/>
      </c>
      <c r="D563" s="33" t="str">
        <f>IF(Analysis!A475="","",Analysis!F475)</f>
        <v/>
      </c>
      <c r="E563" s="33" t="str">
        <f>IF(Analysis!A475="","",Analysis!BG475)</f>
        <v/>
      </c>
      <c r="F563" s="33" t="str">
        <f>IF(Analysis!A475="","",Analysis!AN475)</f>
        <v/>
      </c>
      <c r="G563" s="33" t="str">
        <f>IF(Analysis!A475="","",Analysis!BA475)</f>
        <v/>
      </c>
      <c r="H563" s="34" t="str">
        <f>IF(Analysis!A475="","",Analysis!BJ475)</f>
        <v/>
      </c>
      <c r="I563" s="33" t="str">
        <f>IF(Analysis!A475="","",Analysis!BK475)</f>
        <v/>
      </c>
    </row>
    <row r="564" spans="1:9" ht="14.25" customHeight="1" x14ac:dyDescent="0.25">
      <c r="A564" s="32" t="str">
        <f>IF(Analysis!A476="","",Analysis!A476)</f>
        <v/>
      </c>
      <c r="B564" s="33" t="str">
        <f>IF(Analysis!A476="","",Analysis!B476)</f>
        <v/>
      </c>
      <c r="C564" s="33" t="str">
        <f>IF(Analysis!A476="","",Analysis!C476)</f>
        <v/>
      </c>
      <c r="D564" s="33" t="str">
        <f>IF(Analysis!A476="","",Analysis!F476)</f>
        <v/>
      </c>
      <c r="E564" s="33" t="str">
        <f>IF(Analysis!A476="","",Analysis!BG476)</f>
        <v/>
      </c>
      <c r="F564" s="33" t="str">
        <f>IF(Analysis!A476="","",Analysis!AN476)</f>
        <v/>
      </c>
      <c r="G564" s="33" t="str">
        <f>IF(Analysis!A476="","",Analysis!BA476)</f>
        <v/>
      </c>
      <c r="H564" s="34" t="str">
        <f>IF(Analysis!A476="","",Analysis!BJ476)</f>
        <v/>
      </c>
      <c r="I564" s="33" t="str">
        <f>IF(Analysis!A476="","",Analysis!BK476)</f>
        <v/>
      </c>
    </row>
    <row r="565" spans="1:9" ht="14.25" customHeight="1" x14ac:dyDescent="0.25">
      <c r="A565" s="32" t="str">
        <f>IF(Analysis!A477="","",Analysis!A477)</f>
        <v/>
      </c>
      <c r="B565" s="33" t="str">
        <f>IF(Analysis!A477="","",Analysis!B477)</f>
        <v/>
      </c>
      <c r="C565" s="33" t="str">
        <f>IF(Analysis!A477="","",Analysis!C477)</f>
        <v/>
      </c>
      <c r="D565" s="33" t="str">
        <f>IF(Analysis!A477="","",Analysis!F477)</f>
        <v/>
      </c>
      <c r="E565" s="33" t="str">
        <f>IF(Analysis!A477="","",Analysis!BG477)</f>
        <v/>
      </c>
      <c r="F565" s="33" t="str">
        <f>IF(Analysis!A477="","",Analysis!AN477)</f>
        <v/>
      </c>
      <c r="G565" s="33" t="str">
        <f>IF(Analysis!A477="","",Analysis!BA477)</f>
        <v/>
      </c>
      <c r="H565" s="34" t="str">
        <f>IF(Analysis!A477="","",Analysis!BJ477)</f>
        <v/>
      </c>
      <c r="I565" s="33" t="str">
        <f>IF(Analysis!A477="","",Analysis!BK477)</f>
        <v/>
      </c>
    </row>
    <row r="566" spans="1:9" ht="14.25" customHeight="1" x14ac:dyDescent="0.25">
      <c r="A566" s="32" t="str">
        <f>IF(Analysis!A478="","",Analysis!A478)</f>
        <v/>
      </c>
      <c r="B566" s="33" t="str">
        <f>IF(Analysis!A478="","",Analysis!B478)</f>
        <v/>
      </c>
      <c r="C566" s="33" t="str">
        <f>IF(Analysis!A478="","",Analysis!C478)</f>
        <v/>
      </c>
      <c r="D566" s="33" t="str">
        <f>IF(Analysis!A478="","",Analysis!F478)</f>
        <v/>
      </c>
      <c r="E566" s="33" t="str">
        <f>IF(Analysis!A478="","",Analysis!BG478)</f>
        <v/>
      </c>
      <c r="F566" s="33" t="str">
        <f>IF(Analysis!A478="","",Analysis!AN478)</f>
        <v/>
      </c>
      <c r="G566" s="33" t="str">
        <f>IF(Analysis!A478="","",Analysis!BA478)</f>
        <v/>
      </c>
      <c r="H566" s="34" t="str">
        <f>IF(Analysis!A478="","",Analysis!BJ478)</f>
        <v/>
      </c>
      <c r="I566" s="33" t="str">
        <f>IF(Analysis!A478="","",Analysis!BK478)</f>
        <v/>
      </c>
    </row>
    <row r="567" spans="1:9" ht="14.25" customHeight="1" x14ac:dyDescent="0.25">
      <c r="A567" s="32" t="str">
        <f>IF(Analysis!A479="","",Analysis!A479)</f>
        <v/>
      </c>
      <c r="B567" s="33" t="str">
        <f>IF(Analysis!A479="","",Analysis!B479)</f>
        <v/>
      </c>
      <c r="C567" s="33" t="str">
        <f>IF(Analysis!A479="","",Analysis!C479)</f>
        <v/>
      </c>
      <c r="D567" s="33" t="str">
        <f>IF(Analysis!A479="","",Analysis!F479)</f>
        <v/>
      </c>
      <c r="E567" s="33" t="str">
        <f>IF(Analysis!A479="","",Analysis!BG479)</f>
        <v/>
      </c>
      <c r="F567" s="33" t="str">
        <f>IF(Analysis!A479="","",Analysis!AN479)</f>
        <v/>
      </c>
      <c r="G567" s="33" t="str">
        <f>IF(Analysis!A479="","",Analysis!BA479)</f>
        <v/>
      </c>
      <c r="H567" s="34" t="str">
        <f>IF(Analysis!A479="","",Analysis!BJ479)</f>
        <v/>
      </c>
      <c r="I567" s="33" t="str">
        <f>IF(Analysis!A479="","",Analysis!BK479)</f>
        <v/>
      </c>
    </row>
    <row r="568" spans="1:9" ht="14.25" customHeight="1" x14ac:dyDescent="0.25">
      <c r="A568" s="32" t="str">
        <f>IF(Analysis!A480="","",Analysis!A480)</f>
        <v/>
      </c>
      <c r="B568" s="33" t="str">
        <f>IF(Analysis!A480="","",Analysis!B480)</f>
        <v/>
      </c>
      <c r="C568" s="33" t="str">
        <f>IF(Analysis!A480="","",Analysis!C480)</f>
        <v/>
      </c>
      <c r="D568" s="33" t="str">
        <f>IF(Analysis!A480="","",Analysis!F480)</f>
        <v/>
      </c>
      <c r="E568" s="33" t="str">
        <f>IF(Analysis!A480="","",Analysis!BG480)</f>
        <v/>
      </c>
      <c r="F568" s="33" t="str">
        <f>IF(Analysis!A480="","",Analysis!AN480)</f>
        <v/>
      </c>
      <c r="G568" s="33" t="str">
        <f>IF(Analysis!A480="","",Analysis!BA480)</f>
        <v/>
      </c>
      <c r="H568" s="34" t="str">
        <f>IF(Analysis!A480="","",Analysis!BJ480)</f>
        <v/>
      </c>
      <c r="I568" s="33" t="str">
        <f>IF(Analysis!A480="","",Analysis!BK480)</f>
        <v/>
      </c>
    </row>
    <row r="569" spans="1:9" ht="14.25" customHeight="1" x14ac:dyDescent="0.25">
      <c r="A569" s="32" t="str">
        <f>IF(Analysis!A481="","",Analysis!A481)</f>
        <v/>
      </c>
      <c r="B569" s="33" t="str">
        <f>IF(Analysis!A481="","",Analysis!B481)</f>
        <v/>
      </c>
      <c r="C569" s="33" t="str">
        <f>IF(Analysis!A481="","",Analysis!C481)</f>
        <v/>
      </c>
      <c r="D569" s="33" t="str">
        <f>IF(Analysis!A481="","",Analysis!F481)</f>
        <v/>
      </c>
      <c r="E569" s="33" t="str">
        <f>IF(Analysis!A481="","",Analysis!BG481)</f>
        <v/>
      </c>
      <c r="F569" s="33" t="str">
        <f>IF(Analysis!A481="","",Analysis!AN481)</f>
        <v/>
      </c>
      <c r="G569" s="33" t="str">
        <f>IF(Analysis!A481="","",Analysis!BA481)</f>
        <v/>
      </c>
      <c r="H569" s="34" t="str">
        <f>IF(Analysis!A481="","",Analysis!BJ481)</f>
        <v/>
      </c>
      <c r="I569" s="33" t="str">
        <f>IF(Analysis!A481="","",Analysis!BK481)</f>
        <v/>
      </c>
    </row>
    <row r="570" spans="1:9" ht="14.25" customHeight="1" x14ac:dyDescent="0.25">
      <c r="A570" s="32" t="str">
        <f>IF(Analysis!A482="","",Analysis!A482)</f>
        <v/>
      </c>
      <c r="B570" s="33" t="str">
        <f>IF(Analysis!A482="","",Analysis!B482)</f>
        <v/>
      </c>
      <c r="C570" s="33" t="str">
        <f>IF(Analysis!A482="","",Analysis!C482)</f>
        <v/>
      </c>
      <c r="D570" s="33" t="str">
        <f>IF(Analysis!A482="","",Analysis!F482)</f>
        <v/>
      </c>
      <c r="E570" s="33" t="str">
        <f>IF(Analysis!A482="","",Analysis!BG482)</f>
        <v/>
      </c>
      <c r="F570" s="33" t="str">
        <f>IF(Analysis!A482="","",Analysis!AN482)</f>
        <v/>
      </c>
      <c r="G570" s="33" t="str">
        <f>IF(Analysis!A482="","",Analysis!BA482)</f>
        <v/>
      </c>
      <c r="H570" s="34" t="str">
        <f>IF(Analysis!A482="","",Analysis!BJ482)</f>
        <v/>
      </c>
      <c r="I570" s="33" t="str">
        <f>IF(Analysis!A482="","",Analysis!BK482)</f>
        <v/>
      </c>
    </row>
    <row r="571" spans="1:9" ht="14.25" customHeight="1" x14ac:dyDescent="0.25">
      <c r="A571" s="32" t="str">
        <f>IF(Analysis!A483="","",Analysis!A483)</f>
        <v/>
      </c>
      <c r="B571" s="33" t="str">
        <f>IF(Analysis!A483="","",Analysis!B483)</f>
        <v/>
      </c>
      <c r="C571" s="33" t="str">
        <f>IF(Analysis!A483="","",Analysis!C483)</f>
        <v/>
      </c>
      <c r="D571" s="33" t="str">
        <f>IF(Analysis!A483="","",Analysis!F483)</f>
        <v/>
      </c>
      <c r="E571" s="33" t="str">
        <f>IF(Analysis!A483="","",Analysis!BG483)</f>
        <v/>
      </c>
      <c r="F571" s="33" t="str">
        <f>IF(Analysis!A483="","",Analysis!AN483)</f>
        <v/>
      </c>
      <c r="G571" s="33" t="str">
        <f>IF(Analysis!A483="","",Analysis!BA483)</f>
        <v/>
      </c>
      <c r="H571" s="34" t="str">
        <f>IF(Analysis!A483="","",Analysis!BJ483)</f>
        <v/>
      </c>
      <c r="I571" s="33" t="str">
        <f>IF(Analysis!A483="","",Analysis!BK483)</f>
        <v/>
      </c>
    </row>
    <row r="572" spans="1:9" ht="14.25" customHeight="1" x14ac:dyDescent="0.25">
      <c r="A572" s="32" t="str">
        <f>IF(Analysis!A484="","",Analysis!A484)</f>
        <v/>
      </c>
      <c r="B572" s="33" t="str">
        <f>IF(Analysis!A484="","",Analysis!B484)</f>
        <v/>
      </c>
      <c r="C572" s="33" t="str">
        <f>IF(Analysis!A484="","",Analysis!C484)</f>
        <v/>
      </c>
      <c r="D572" s="33" t="str">
        <f>IF(Analysis!A484="","",Analysis!F484)</f>
        <v/>
      </c>
      <c r="E572" s="33" t="str">
        <f>IF(Analysis!A484="","",Analysis!BG484)</f>
        <v/>
      </c>
      <c r="F572" s="33" t="str">
        <f>IF(Analysis!A484="","",Analysis!AN484)</f>
        <v/>
      </c>
      <c r="G572" s="33" t="str">
        <f>IF(Analysis!A484="","",Analysis!BA484)</f>
        <v/>
      </c>
      <c r="H572" s="34" t="str">
        <f>IF(Analysis!A484="","",Analysis!BJ484)</f>
        <v/>
      </c>
      <c r="I572" s="33" t="str">
        <f>IF(Analysis!A484="","",Analysis!BK484)</f>
        <v/>
      </c>
    </row>
    <row r="573" spans="1:9" ht="14.25" customHeight="1" x14ac:dyDescent="0.25">
      <c r="A573" s="32" t="str">
        <f>IF(Analysis!A485="","",Analysis!A485)</f>
        <v/>
      </c>
      <c r="B573" s="33" t="str">
        <f>IF(Analysis!A485="","",Analysis!B485)</f>
        <v/>
      </c>
      <c r="C573" s="33" t="str">
        <f>IF(Analysis!A485="","",Analysis!C485)</f>
        <v/>
      </c>
      <c r="D573" s="33" t="str">
        <f>IF(Analysis!A485="","",Analysis!F485)</f>
        <v/>
      </c>
      <c r="E573" s="33" t="str">
        <f>IF(Analysis!A485="","",Analysis!BG485)</f>
        <v/>
      </c>
      <c r="F573" s="33" t="str">
        <f>IF(Analysis!A485="","",Analysis!AN485)</f>
        <v/>
      </c>
      <c r="G573" s="33" t="str">
        <f>IF(Analysis!A485="","",Analysis!BA485)</f>
        <v/>
      </c>
      <c r="H573" s="34" t="str">
        <f>IF(Analysis!A485="","",Analysis!BJ485)</f>
        <v/>
      </c>
      <c r="I573" s="33" t="str">
        <f>IF(Analysis!A485="","",Analysis!BK485)</f>
        <v/>
      </c>
    </row>
    <row r="574" spans="1:9" ht="14.25" customHeight="1" x14ac:dyDescent="0.25">
      <c r="A574" s="32" t="str">
        <f>IF(Analysis!A486="","",Analysis!A486)</f>
        <v/>
      </c>
      <c r="B574" s="33" t="str">
        <f>IF(Analysis!A486="","",Analysis!B486)</f>
        <v/>
      </c>
      <c r="C574" s="33" t="str">
        <f>IF(Analysis!A486="","",Analysis!C486)</f>
        <v/>
      </c>
      <c r="D574" s="33" t="str">
        <f>IF(Analysis!A486="","",Analysis!F486)</f>
        <v/>
      </c>
      <c r="E574" s="33" t="str">
        <f>IF(Analysis!A486="","",Analysis!BG486)</f>
        <v/>
      </c>
      <c r="F574" s="33" t="str">
        <f>IF(Analysis!A486="","",Analysis!AN486)</f>
        <v/>
      </c>
      <c r="G574" s="33" t="str">
        <f>IF(Analysis!A486="","",Analysis!BA486)</f>
        <v/>
      </c>
      <c r="H574" s="34" t="str">
        <f>IF(Analysis!A486="","",Analysis!BJ486)</f>
        <v/>
      </c>
      <c r="I574" s="33" t="str">
        <f>IF(Analysis!A486="","",Analysis!BK486)</f>
        <v/>
      </c>
    </row>
    <row r="575" spans="1:9" ht="14.25" customHeight="1" x14ac:dyDescent="0.25">
      <c r="A575" s="32" t="str">
        <f>IF(Analysis!A487="","",Analysis!A487)</f>
        <v/>
      </c>
      <c r="B575" s="33" t="str">
        <f>IF(Analysis!A487="","",Analysis!B487)</f>
        <v/>
      </c>
      <c r="C575" s="33" t="str">
        <f>IF(Analysis!A487="","",Analysis!C487)</f>
        <v/>
      </c>
      <c r="D575" s="33" t="str">
        <f>IF(Analysis!A487="","",Analysis!F487)</f>
        <v/>
      </c>
      <c r="E575" s="33" t="str">
        <f>IF(Analysis!A487="","",Analysis!BG487)</f>
        <v/>
      </c>
      <c r="F575" s="33" t="str">
        <f>IF(Analysis!A487="","",Analysis!AN487)</f>
        <v/>
      </c>
      <c r="G575" s="33" t="str">
        <f>IF(Analysis!A487="","",Analysis!BA487)</f>
        <v/>
      </c>
      <c r="H575" s="34" t="str">
        <f>IF(Analysis!A487="","",Analysis!BJ487)</f>
        <v/>
      </c>
      <c r="I575" s="33" t="str">
        <f>IF(Analysis!A487="","",Analysis!BK487)</f>
        <v/>
      </c>
    </row>
    <row r="576" spans="1:9" ht="14.25" customHeight="1" x14ac:dyDescent="0.25">
      <c r="A576" s="32" t="str">
        <f>IF(Analysis!A488="","",Analysis!A488)</f>
        <v/>
      </c>
      <c r="B576" s="33" t="str">
        <f>IF(Analysis!A488="","",Analysis!B488)</f>
        <v/>
      </c>
      <c r="C576" s="33" t="str">
        <f>IF(Analysis!A488="","",Analysis!C488)</f>
        <v/>
      </c>
      <c r="D576" s="33" t="str">
        <f>IF(Analysis!A488="","",Analysis!F488)</f>
        <v/>
      </c>
      <c r="E576" s="33" t="str">
        <f>IF(Analysis!A488="","",Analysis!BG488)</f>
        <v/>
      </c>
      <c r="F576" s="33" t="str">
        <f>IF(Analysis!A488="","",Analysis!AN488)</f>
        <v/>
      </c>
      <c r="G576" s="33" t="str">
        <f>IF(Analysis!A488="","",Analysis!BA488)</f>
        <v/>
      </c>
      <c r="H576" s="34" t="str">
        <f>IF(Analysis!A488="","",Analysis!BJ488)</f>
        <v/>
      </c>
      <c r="I576" s="33" t="str">
        <f>IF(Analysis!A488="","",Analysis!BK488)</f>
        <v/>
      </c>
    </row>
    <row r="577" spans="1:9" ht="14.25" customHeight="1" x14ac:dyDescent="0.25">
      <c r="A577" s="32" t="str">
        <f>IF(Analysis!A489="","",Analysis!A489)</f>
        <v/>
      </c>
      <c r="B577" s="33" t="str">
        <f>IF(Analysis!A489="","",Analysis!B489)</f>
        <v/>
      </c>
      <c r="C577" s="33" t="str">
        <f>IF(Analysis!A489="","",Analysis!C489)</f>
        <v/>
      </c>
      <c r="D577" s="33" t="str">
        <f>IF(Analysis!A489="","",Analysis!F489)</f>
        <v/>
      </c>
      <c r="E577" s="33" t="str">
        <f>IF(Analysis!A489="","",Analysis!BG489)</f>
        <v/>
      </c>
      <c r="F577" s="33" t="str">
        <f>IF(Analysis!A489="","",Analysis!AN489)</f>
        <v/>
      </c>
      <c r="G577" s="33" t="str">
        <f>IF(Analysis!A489="","",Analysis!BA489)</f>
        <v/>
      </c>
      <c r="H577" s="34" t="str">
        <f>IF(Analysis!A489="","",Analysis!BJ489)</f>
        <v/>
      </c>
      <c r="I577" s="33" t="str">
        <f>IF(Analysis!A489="","",Analysis!BK489)</f>
        <v/>
      </c>
    </row>
    <row r="578" spans="1:9" ht="14.25" customHeight="1" x14ac:dyDescent="0.25">
      <c r="A578" s="32" t="str">
        <f>IF(Analysis!A490="","",Analysis!A490)</f>
        <v/>
      </c>
      <c r="B578" s="33" t="str">
        <f>IF(Analysis!A490="","",Analysis!B490)</f>
        <v/>
      </c>
      <c r="C578" s="33" t="str">
        <f>IF(Analysis!A490="","",Analysis!C490)</f>
        <v/>
      </c>
      <c r="D578" s="33" t="str">
        <f>IF(Analysis!A490="","",Analysis!F490)</f>
        <v/>
      </c>
      <c r="E578" s="33" t="str">
        <f>IF(Analysis!A490="","",Analysis!BG490)</f>
        <v/>
      </c>
      <c r="F578" s="33" t="str">
        <f>IF(Analysis!A490="","",Analysis!AN490)</f>
        <v/>
      </c>
      <c r="G578" s="33" t="str">
        <f>IF(Analysis!A490="","",Analysis!BA490)</f>
        <v/>
      </c>
      <c r="H578" s="34" t="str">
        <f>IF(Analysis!A490="","",Analysis!BJ490)</f>
        <v/>
      </c>
      <c r="I578" s="33" t="str">
        <f>IF(Analysis!A490="","",Analysis!BK490)</f>
        <v/>
      </c>
    </row>
    <row r="579" spans="1:9" ht="14.25" customHeight="1" x14ac:dyDescent="0.25">
      <c r="A579" s="32" t="str">
        <f>IF(Analysis!A491="","",Analysis!A491)</f>
        <v/>
      </c>
      <c r="B579" s="33" t="str">
        <f>IF(Analysis!A491="","",Analysis!B491)</f>
        <v/>
      </c>
      <c r="C579" s="33" t="str">
        <f>IF(Analysis!A491="","",Analysis!C491)</f>
        <v/>
      </c>
      <c r="D579" s="33" t="str">
        <f>IF(Analysis!A491="","",Analysis!F491)</f>
        <v/>
      </c>
      <c r="E579" s="33" t="str">
        <f>IF(Analysis!A491="","",Analysis!BG491)</f>
        <v/>
      </c>
      <c r="F579" s="33" t="str">
        <f>IF(Analysis!A491="","",Analysis!AN491)</f>
        <v/>
      </c>
      <c r="G579" s="33" t="str">
        <f>IF(Analysis!A491="","",Analysis!BA491)</f>
        <v/>
      </c>
      <c r="H579" s="34" t="str">
        <f>IF(Analysis!A491="","",Analysis!BJ491)</f>
        <v/>
      </c>
      <c r="I579" s="33" t="str">
        <f>IF(Analysis!A491="","",Analysis!BK491)</f>
        <v/>
      </c>
    </row>
    <row r="580" spans="1:9" ht="14.25" customHeight="1" x14ac:dyDescent="0.25">
      <c r="A580" s="32" t="str">
        <f>IF(Analysis!A492="","",Analysis!A492)</f>
        <v/>
      </c>
      <c r="B580" s="33" t="str">
        <f>IF(Analysis!A492="","",Analysis!B492)</f>
        <v/>
      </c>
      <c r="C580" s="33" t="str">
        <f>IF(Analysis!A492="","",Analysis!C492)</f>
        <v/>
      </c>
      <c r="D580" s="33" t="str">
        <f>IF(Analysis!A492="","",Analysis!F492)</f>
        <v/>
      </c>
      <c r="E580" s="33" t="str">
        <f>IF(Analysis!A492="","",Analysis!BG492)</f>
        <v/>
      </c>
      <c r="F580" s="33" t="str">
        <f>IF(Analysis!A492="","",Analysis!AN492)</f>
        <v/>
      </c>
      <c r="G580" s="33" t="str">
        <f>IF(Analysis!A492="","",Analysis!BA492)</f>
        <v/>
      </c>
      <c r="H580" s="34" t="str">
        <f>IF(Analysis!A492="","",Analysis!BJ492)</f>
        <v/>
      </c>
      <c r="I580" s="33" t="str">
        <f>IF(Analysis!A492="","",Analysis!BK492)</f>
        <v/>
      </c>
    </row>
    <row r="581" spans="1:9" ht="14.25" customHeight="1" x14ac:dyDescent="0.25">
      <c r="A581" s="32" t="str">
        <f>IF(Analysis!A493="","",Analysis!A493)</f>
        <v/>
      </c>
      <c r="B581" s="33" t="str">
        <f>IF(Analysis!A493="","",Analysis!B493)</f>
        <v/>
      </c>
      <c r="C581" s="33" t="str">
        <f>IF(Analysis!A493="","",Analysis!C493)</f>
        <v/>
      </c>
      <c r="D581" s="33" t="str">
        <f>IF(Analysis!A493="","",Analysis!F493)</f>
        <v/>
      </c>
      <c r="E581" s="33" t="str">
        <f>IF(Analysis!A493="","",Analysis!BG493)</f>
        <v/>
      </c>
      <c r="F581" s="33" t="str">
        <f>IF(Analysis!A493="","",Analysis!AN493)</f>
        <v/>
      </c>
      <c r="G581" s="33" t="str">
        <f>IF(Analysis!A493="","",Analysis!BA493)</f>
        <v/>
      </c>
      <c r="H581" s="34" t="str">
        <f>IF(Analysis!A493="","",Analysis!BJ493)</f>
        <v/>
      </c>
      <c r="I581" s="33" t="str">
        <f>IF(Analysis!A493="","",Analysis!BK493)</f>
        <v/>
      </c>
    </row>
    <row r="582" spans="1:9" ht="14.25" customHeight="1" x14ac:dyDescent="0.25">
      <c r="A582" s="32" t="str">
        <f>IF(Analysis!A494="","",Analysis!A494)</f>
        <v/>
      </c>
      <c r="B582" s="33" t="str">
        <f>IF(Analysis!A494="","",Analysis!B494)</f>
        <v/>
      </c>
      <c r="C582" s="33" t="str">
        <f>IF(Analysis!A494="","",Analysis!C494)</f>
        <v/>
      </c>
      <c r="D582" s="33" t="str">
        <f>IF(Analysis!A494="","",Analysis!F494)</f>
        <v/>
      </c>
      <c r="E582" s="33" t="str">
        <f>IF(Analysis!A494="","",Analysis!BG494)</f>
        <v/>
      </c>
      <c r="F582" s="33" t="str">
        <f>IF(Analysis!A494="","",Analysis!AN494)</f>
        <v/>
      </c>
      <c r="G582" s="33" t="str">
        <f>IF(Analysis!A494="","",Analysis!BA494)</f>
        <v/>
      </c>
      <c r="H582" s="34" t="str">
        <f>IF(Analysis!A494="","",Analysis!BJ494)</f>
        <v/>
      </c>
      <c r="I582" s="33" t="str">
        <f>IF(Analysis!A494="","",Analysis!BK494)</f>
        <v/>
      </c>
    </row>
    <row r="583" spans="1:9" ht="14.25" customHeight="1" x14ac:dyDescent="0.25">
      <c r="A583" s="32" t="str">
        <f>IF(Analysis!A495="","",Analysis!A495)</f>
        <v/>
      </c>
      <c r="B583" s="33" t="str">
        <f>IF(Analysis!A495="","",Analysis!B495)</f>
        <v/>
      </c>
      <c r="C583" s="33" t="str">
        <f>IF(Analysis!A495="","",Analysis!C495)</f>
        <v/>
      </c>
      <c r="D583" s="33" t="str">
        <f>IF(Analysis!A495="","",Analysis!F495)</f>
        <v/>
      </c>
      <c r="E583" s="33" t="str">
        <f>IF(Analysis!A495="","",Analysis!BG495)</f>
        <v/>
      </c>
      <c r="F583" s="33" t="str">
        <f>IF(Analysis!A495="","",Analysis!AN495)</f>
        <v/>
      </c>
      <c r="G583" s="33" t="str">
        <f>IF(Analysis!A495="","",Analysis!BA495)</f>
        <v/>
      </c>
      <c r="H583" s="34" t="str">
        <f>IF(Analysis!A495="","",Analysis!BJ495)</f>
        <v/>
      </c>
      <c r="I583" s="33" t="str">
        <f>IF(Analysis!A495="","",Analysis!BK495)</f>
        <v/>
      </c>
    </row>
    <row r="584" spans="1:9" ht="14.25" customHeight="1" x14ac:dyDescent="0.25">
      <c r="A584" s="32" t="str">
        <f>IF(Analysis!A496="","",Analysis!A496)</f>
        <v/>
      </c>
      <c r="B584" s="33" t="str">
        <f>IF(Analysis!A496="","",Analysis!B496)</f>
        <v/>
      </c>
      <c r="C584" s="33" t="str">
        <f>IF(Analysis!A496="","",Analysis!C496)</f>
        <v/>
      </c>
      <c r="D584" s="33" t="str">
        <f>IF(Analysis!A496="","",Analysis!F496)</f>
        <v/>
      </c>
      <c r="E584" s="33" t="str">
        <f>IF(Analysis!A496="","",Analysis!BG496)</f>
        <v/>
      </c>
      <c r="F584" s="33" t="str">
        <f>IF(Analysis!A496="","",Analysis!AN496)</f>
        <v/>
      </c>
      <c r="G584" s="33" t="str">
        <f>IF(Analysis!A496="","",Analysis!BA496)</f>
        <v/>
      </c>
      <c r="H584" s="34" t="str">
        <f>IF(Analysis!A496="","",Analysis!BJ496)</f>
        <v/>
      </c>
      <c r="I584" s="33" t="str">
        <f>IF(Analysis!A496="","",Analysis!BK496)</f>
        <v/>
      </c>
    </row>
    <row r="585" spans="1:9" ht="14.25" customHeight="1" x14ac:dyDescent="0.25">
      <c r="A585" s="32" t="str">
        <f>IF(Analysis!A497="","",Analysis!A497)</f>
        <v/>
      </c>
      <c r="B585" s="33" t="str">
        <f>IF(Analysis!A497="","",Analysis!B497)</f>
        <v/>
      </c>
      <c r="C585" s="33" t="str">
        <f>IF(Analysis!A497="","",Analysis!C497)</f>
        <v/>
      </c>
      <c r="D585" s="33" t="str">
        <f>IF(Analysis!A497="","",Analysis!F497)</f>
        <v/>
      </c>
      <c r="E585" s="33" t="str">
        <f>IF(Analysis!A497="","",Analysis!BG497)</f>
        <v/>
      </c>
      <c r="F585" s="33" t="str">
        <f>IF(Analysis!A497="","",Analysis!AN497)</f>
        <v/>
      </c>
      <c r="G585" s="33" t="str">
        <f>IF(Analysis!A497="","",Analysis!BA497)</f>
        <v/>
      </c>
      <c r="H585" s="34" t="str">
        <f>IF(Analysis!A497="","",Analysis!BJ497)</f>
        <v/>
      </c>
      <c r="I585" s="33" t="str">
        <f>IF(Analysis!A497="","",Analysis!BK497)</f>
        <v/>
      </c>
    </row>
    <row r="586" spans="1:9" ht="14.25" customHeight="1" x14ac:dyDescent="0.25">
      <c r="A586" s="32" t="str">
        <f>IF(Analysis!A498="","",Analysis!A498)</f>
        <v/>
      </c>
      <c r="B586" s="33" t="str">
        <f>IF(Analysis!A498="","",Analysis!B498)</f>
        <v/>
      </c>
      <c r="C586" s="33" t="str">
        <f>IF(Analysis!A498="","",Analysis!C498)</f>
        <v/>
      </c>
      <c r="D586" s="33" t="str">
        <f>IF(Analysis!A498="","",Analysis!F498)</f>
        <v/>
      </c>
      <c r="E586" s="33" t="str">
        <f>IF(Analysis!A498="","",Analysis!BG498)</f>
        <v/>
      </c>
      <c r="F586" s="33" t="str">
        <f>IF(Analysis!A498="","",Analysis!AN498)</f>
        <v/>
      </c>
      <c r="G586" s="33" t="str">
        <f>IF(Analysis!A498="","",Analysis!BA498)</f>
        <v/>
      </c>
      <c r="H586" s="34" t="str">
        <f>IF(Analysis!A498="","",Analysis!BJ498)</f>
        <v/>
      </c>
      <c r="I586" s="33" t="str">
        <f>IF(Analysis!A498="","",Analysis!BK498)</f>
        <v/>
      </c>
    </row>
    <row r="587" spans="1:9" ht="14.25" customHeight="1" x14ac:dyDescent="0.25">
      <c r="A587" s="32" t="str">
        <f>IF(Analysis!A499="","",Analysis!A499)</f>
        <v/>
      </c>
      <c r="B587" s="33" t="str">
        <f>IF(Analysis!A499="","",Analysis!B499)</f>
        <v/>
      </c>
      <c r="C587" s="33" t="str">
        <f>IF(Analysis!A499="","",Analysis!C499)</f>
        <v/>
      </c>
      <c r="D587" s="33" t="str">
        <f>IF(Analysis!A499="","",Analysis!F499)</f>
        <v/>
      </c>
      <c r="E587" s="33" t="str">
        <f>IF(Analysis!A499="","",Analysis!BG499)</f>
        <v/>
      </c>
      <c r="F587" s="33" t="str">
        <f>IF(Analysis!A499="","",Analysis!AN499)</f>
        <v/>
      </c>
      <c r="G587" s="33" t="str">
        <f>IF(Analysis!A499="","",Analysis!BA499)</f>
        <v/>
      </c>
      <c r="H587" s="34" t="str">
        <f>IF(Analysis!A499="","",Analysis!BJ499)</f>
        <v/>
      </c>
      <c r="I587" s="33" t="str">
        <f>IF(Analysis!A499="","",Analysis!BK499)</f>
        <v/>
      </c>
    </row>
    <row r="588" spans="1:9" ht="14.25" customHeight="1" x14ac:dyDescent="0.25">
      <c r="A588" s="32" t="str">
        <f>IF(Analysis!A500="","",Analysis!A500)</f>
        <v/>
      </c>
      <c r="B588" s="33" t="str">
        <f>IF(Analysis!A500="","",Analysis!B500)</f>
        <v/>
      </c>
      <c r="C588" s="33" t="str">
        <f>IF(Analysis!A500="","",Analysis!C500)</f>
        <v/>
      </c>
      <c r="D588" s="33" t="str">
        <f>IF(Analysis!A500="","",Analysis!F500)</f>
        <v/>
      </c>
      <c r="E588" s="33" t="str">
        <f>IF(Analysis!A500="","",Analysis!BG500)</f>
        <v/>
      </c>
      <c r="F588" s="33" t="str">
        <f>IF(Analysis!A500="","",Analysis!AN500)</f>
        <v/>
      </c>
      <c r="G588" s="33" t="str">
        <f>IF(Analysis!A500="","",Analysis!BA500)</f>
        <v/>
      </c>
      <c r="H588" s="34" t="str">
        <f>IF(Analysis!A500="","",Analysis!BJ500)</f>
        <v/>
      </c>
      <c r="I588" s="33" t="str">
        <f>IF(Analysis!A500="","",Analysis!BK500)</f>
        <v/>
      </c>
    </row>
    <row r="589" spans="1:9" ht="14.25" customHeight="1" x14ac:dyDescent="0.25">
      <c r="A589" s="32" t="str">
        <f>IF(Analysis!A501="","",Analysis!A501)</f>
        <v/>
      </c>
      <c r="B589" s="33" t="str">
        <f>IF(Analysis!A501="","",Analysis!B501)</f>
        <v/>
      </c>
      <c r="C589" s="33" t="str">
        <f>IF(Analysis!A501="","",Analysis!C501)</f>
        <v/>
      </c>
      <c r="D589" s="33" t="str">
        <f>IF(Analysis!A501="","",Analysis!F501)</f>
        <v/>
      </c>
      <c r="E589" s="33" t="str">
        <f>IF(Analysis!A501="","",Analysis!BG501)</f>
        <v/>
      </c>
      <c r="F589" s="33" t="str">
        <f>IF(Analysis!A501="","",Analysis!AN501)</f>
        <v/>
      </c>
      <c r="G589" s="33" t="str">
        <f>IF(Analysis!A501="","",Analysis!BA501)</f>
        <v/>
      </c>
      <c r="H589" s="34" t="str">
        <f>IF(Analysis!A501="","",Analysis!BJ501)</f>
        <v/>
      </c>
      <c r="I589" s="33" t="str">
        <f>IF(Analysis!A501="","",Analysis!BK501)</f>
        <v/>
      </c>
    </row>
    <row r="590" spans="1:9" ht="14.25" customHeight="1" x14ac:dyDescent="0.25">
      <c r="A590" s="32" t="str">
        <f>IF(Analysis!A502="","",Analysis!A502)</f>
        <v/>
      </c>
      <c r="B590" s="33" t="str">
        <f>IF(Analysis!A502="","",Analysis!B502)</f>
        <v/>
      </c>
      <c r="C590" s="33" t="str">
        <f>IF(Analysis!A502="","",Analysis!C502)</f>
        <v/>
      </c>
      <c r="D590" s="33" t="str">
        <f>IF(Analysis!A502="","",Analysis!F502)</f>
        <v/>
      </c>
      <c r="E590" s="33" t="str">
        <f>IF(Analysis!A502="","",Analysis!BG502)</f>
        <v/>
      </c>
      <c r="F590" s="33" t="str">
        <f>IF(Analysis!A502="","",Analysis!AN502)</f>
        <v/>
      </c>
      <c r="G590" s="33" t="str">
        <f>IF(Analysis!A502="","",Analysis!BA502)</f>
        <v/>
      </c>
      <c r="H590" s="34" t="str">
        <f>IF(Analysis!A502="","",Analysis!BJ502)</f>
        <v/>
      </c>
      <c r="I590" s="33" t="str">
        <f>IF(Analysis!A502="","",Analysis!BK502)</f>
        <v/>
      </c>
    </row>
    <row r="591" spans="1:9" ht="14.25" customHeight="1" x14ac:dyDescent="0.25">
      <c r="A591" s="32" t="str">
        <f>IF(Analysis!A503="","",Analysis!A503)</f>
        <v/>
      </c>
      <c r="B591" s="33" t="str">
        <f>IF(Analysis!A503="","",Analysis!B503)</f>
        <v/>
      </c>
      <c r="C591" s="33" t="str">
        <f>IF(Analysis!A503="","",Analysis!C503)</f>
        <v/>
      </c>
      <c r="D591" s="33" t="str">
        <f>IF(Analysis!A503="","",Analysis!F503)</f>
        <v/>
      </c>
      <c r="E591" s="33" t="str">
        <f>IF(Analysis!A503="","",Analysis!BG503)</f>
        <v/>
      </c>
      <c r="F591" s="33" t="str">
        <f>IF(Analysis!A503="","",Analysis!AN503)</f>
        <v/>
      </c>
      <c r="G591" s="33" t="str">
        <f>IF(Analysis!A503="","",Analysis!BA503)</f>
        <v/>
      </c>
      <c r="H591" s="34" t="str">
        <f>IF(Analysis!A503="","",Analysis!BJ503)</f>
        <v/>
      </c>
      <c r="I591" s="33" t="str">
        <f>IF(Analysis!A503="","",Analysis!BK503)</f>
        <v/>
      </c>
    </row>
    <row r="592" spans="1:9" ht="14.25" customHeight="1" x14ac:dyDescent="0.25">
      <c r="A592" s="32" t="str">
        <f>IF(Analysis!A504="","",Analysis!A504)</f>
        <v/>
      </c>
      <c r="B592" s="33" t="str">
        <f>IF(Analysis!A504="","",Analysis!B504)</f>
        <v/>
      </c>
      <c r="C592" s="33" t="str">
        <f>IF(Analysis!A504="","",Analysis!C504)</f>
        <v/>
      </c>
      <c r="D592" s="33" t="str">
        <f>IF(Analysis!A504="","",Analysis!F504)</f>
        <v/>
      </c>
      <c r="E592" s="33" t="str">
        <f>IF(Analysis!A504="","",Analysis!BG504)</f>
        <v/>
      </c>
      <c r="F592" s="33" t="str">
        <f>IF(Analysis!A504="","",Analysis!AN504)</f>
        <v/>
      </c>
      <c r="G592" s="33" t="str">
        <f>IF(Analysis!A504="","",Analysis!BA504)</f>
        <v/>
      </c>
      <c r="H592" s="34" t="str">
        <f>IF(Analysis!A504="","",Analysis!BJ504)</f>
        <v/>
      </c>
      <c r="I592" s="33" t="str">
        <f>IF(Analysis!A504="","",Analysis!BK504)</f>
        <v/>
      </c>
    </row>
    <row r="593" spans="1:9" ht="14.25" customHeight="1" x14ac:dyDescent="0.25">
      <c r="A593" s="32" t="str">
        <f>IF(Analysis!A505="","",Analysis!A505)</f>
        <v/>
      </c>
      <c r="B593" s="33" t="str">
        <f>IF(Analysis!A505="","",Analysis!B505)</f>
        <v/>
      </c>
      <c r="C593" s="33" t="str">
        <f>IF(Analysis!A505="","",Analysis!C505)</f>
        <v/>
      </c>
      <c r="D593" s="33" t="str">
        <f>IF(Analysis!A505="","",Analysis!F505)</f>
        <v/>
      </c>
      <c r="E593" s="33" t="str">
        <f>IF(Analysis!A505="","",Analysis!BG505)</f>
        <v/>
      </c>
      <c r="F593" s="33" t="str">
        <f>IF(Analysis!A505="","",Analysis!AN505)</f>
        <v/>
      </c>
      <c r="G593" s="33" t="str">
        <f>IF(Analysis!A505="","",Analysis!BA505)</f>
        <v/>
      </c>
      <c r="H593" s="34" t="str">
        <f>IF(Analysis!A505="","",Analysis!BJ505)</f>
        <v/>
      </c>
      <c r="I593" s="33" t="str">
        <f>IF(Analysis!A505="","",Analysis!BK505)</f>
        <v/>
      </c>
    </row>
    <row r="594" spans="1:9" ht="14.25" customHeight="1" x14ac:dyDescent="0.25">
      <c r="A594" s="32" t="str">
        <f>IF(Analysis!A506="","",Analysis!A506)</f>
        <v/>
      </c>
      <c r="B594" s="33" t="str">
        <f>IF(Analysis!A506="","",Analysis!B506)</f>
        <v/>
      </c>
      <c r="C594" s="33" t="str">
        <f>IF(Analysis!A506="","",Analysis!C506)</f>
        <v/>
      </c>
      <c r="D594" s="33" t="str">
        <f>IF(Analysis!A506="","",Analysis!F506)</f>
        <v/>
      </c>
      <c r="E594" s="33" t="str">
        <f>IF(Analysis!A506="","",Analysis!BG506)</f>
        <v/>
      </c>
      <c r="F594" s="33" t="str">
        <f>IF(Analysis!A506="","",Analysis!AN506)</f>
        <v/>
      </c>
      <c r="G594" s="33" t="str">
        <f>IF(Analysis!A506="","",Analysis!BA506)</f>
        <v/>
      </c>
      <c r="H594" s="34" t="str">
        <f>IF(Analysis!A506="","",Analysis!BJ506)</f>
        <v/>
      </c>
      <c r="I594" s="33" t="str">
        <f>IF(Analysis!A506="","",Analysis!BK506)</f>
        <v/>
      </c>
    </row>
    <row r="595" spans="1:9" ht="14.25" customHeight="1" x14ac:dyDescent="0.25">
      <c r="A595" s="32" t="str">
        <f>IF(Analysis!A507="","",Analysis!A507)</f>
        <v/>
      </c>
      <c r="B595" s="33" t="str">
        <f>IF(Analysis!A507="","",Analysis!B507)</f>
        <v/>
      </c>
      <c r="C595" s="33" t="str">
        <f>IF(Analysis!A507="","",Analysis!C507)</f>
        <v/>
      </c>
      <c r="D595" s="33" t="str">
        <f>IF(Analysis!A507="","",Analysis!F507)</f>
        <v/>
      </c>
      <c r="E595" s="33" t="str">
        <f>IF(Analysis!A507="","",Analysis!BG507)</f>
        <v/>
      </c>
      <c r="F595" s="33" t="str">
        <f>IF(Analysis!A507="","",Analysis!AN507)</f>
        <v/>
      </c>
      <c r="G595" s="33" t="str">
        <f>IF(Analysis!A507="","",Analysis!BA507)</f>
        <v/>
      </c>
      <c r="H595" s="34" t="str">
        <f>IF(Analysis!A507="","",Analysis!BJ507)</f>
        <v/>
      </c>
      <c r="I595" s="33" t="str">
        <f>IF(Analysis!A507="","",Analysis!BK507)</f>
        <v/>
      </c>
    </row>
    <row r="596" spans="1:9" ht="14.25" customHeight="1" x14ac:dyDescent="0.25">
      <c r="A596" s="32" t="str">
        <f>IF(Analysis!A508="","",Analysis!A508)</f>
        <v/>
      </c>
      <c r="B596" s="33" t="str">
        <f>IF(Analysis!A508="","",Analysis!B508)</f>
        <v/>
      </c>
      <c r="C596" s="33" t="str">
        <f>IF(Analysis!A508="","",Analysis!C508)</f>
        <v/>
      </c>
      <c r="D596" s="33" t="str">
        <f>IF(Analysis!A508="","",Analysis!F508)</f>
        <v/>
      </c>
      <c r="E596" s="33" t="str">
        <f>IF(Analysis!A508="","",Analysis!BG508)</f>
        <v/>
      </c>
      <c r="F596" s="33" t="str">
        <f>IF(Analysis!A508="","",Analysis!AN508)</f>
        <v/>
      </c>
      <c r="G596" s="33" t="str">
        <f>IF(Analysis!A508="","",Analysis!BA508)</f>
        <v/>
      </c>
      <c r="H596" s="34" t="str">
        <f>IF(Analysis!A508="","",Analysis!BJ508)</f>
        <v/>
      </c>
      <c r="I596" s="33" t="str">
        <f>IF(Analysis!A508="","",Analysis!BK508)</f>
        <v/>
      </c>
    </row>
    <row r="597" spans="1:9" ht="14.25" customHeight="1" x14ac:dyDescent="0.25">
      <c r="A597" s="32" t="str">
        <f>IF(Analysis!A509="","",Analysis!A509)</f>
        <v/>
      </c>
      <c r="B597" s="33" t="str">
        <f>IF(Analysis!A509="","",Analysis!B509)</f>
        <v/>
      </c>
      <c r="C597" s="33" t="str">
        <f>IF(Analysis!A509="","",Analysis!C509)</f>
        <v/>
      </c>
      <c r="D597" s="33" t="str">
        <f>IF(Analysis!A509="","",Analysis!F509)</f>
        <v/>
      </c>
      <c r="E597" s="33" t="str">
        <f>IF(Analysis!A509="","",Analysis!BG509)</f>
        <v/>
      </c>
      <c r="F597" s="33" t="str">
        <f>IF(Analysis!A509="","",Analysis!AN509)</f>
        <v/>
      </c>
      <c r="G597" s="33" t="str">
        <f>IF(Analysis!A509="","",Analysis!BA509)</f>
        <v/>
      </c>
      <c r="H597" s="34" t="str">
        <f>IF(Analysis!A509="","",Analysis!BJ509)</f>
        <v/>
      </c>
      <c r="I597" s="33" t="str">
        <f>IF(Analysis!A509="","",Analysis!BK509)</f>
        <v/>
      </c>
    </row>
    <row r="598" spans="1:9" ht="14.25" customHeight="1" x14ac:dyDescent="0.25">
      <c r="A598" s="32" t="str">
        <f>IF(Analysis!A510="","",Analysis!A510)</f>
        <v/>
      </c>
      <c r="B598" s="33" t="str">
        <f>IF(Analysis!A510="","",Analysis!B510)</f>
        <v/>
      </c>
      <c r="C598" s="33" t="str">
        <f>IF(Analysis!A510="","",Analysis!C510)</f>
        <v/>
      </c>
      <c r="D598" s="33" t="str">
        <f>IF(Analysis!A510="","",Analysis!F510)</f>
        <v/>
      </c>
      <c r="E598" s="33" t="str">
        <f>IF(Analysis!A510="","",Analysis!BG510)</f>
        <v/>
      </c>
      <c r="F598" s="33" t="str">
        <f>IF(Analysis!A510="","",Analysis!AN510)</f>
        <v/>
      </c>
      <c r="G598" s="33" t="str">
        <f>IF(Analysis!A510="","",Analysis!BA510)</f>
        <v/>
      </c>
      <c r="H598" s="34" t="str">
        <f>IF(Analysis!A510="","",Analysis!BJ510)</f>
        <v/>
      </c>
      <c r="I598" s="33" t="str">
        <f>IF(Analysis!A510="","",Analysis!BK510)</f>
        <v/>
      </c>
    </row>
    <row r="599" spans="1:9" ht="14.25" customHeight="1" x14ac:dyDescent="0.25">
      <c r="A599" s="32" t="str">
        <f>IF(Analysis!A511="","",Analysis!A511)</f>
        <v/>
      </c>
      <c r="B599" s="33" t="str">
        <f>IF(Analysis!A511="","",Analysis!B511)</f>
        <v/>
      </c>
      <c r="C599" s="33" t="str">
        <f>IF(Analysis!A511="","",Analysis!C511)</f>
        <v/>
      </c>
      <c r="D599" s="33" t="str">
        <f>IF(Analysis!A511="","",Analysis!F511)</f>
        <v/>
      </c>
      <c r="E599" s="33" t="str">
        <f>IF(Analysis!A511="","",Analysis!BG511)</f>
        <v/>
      </c>
      <c r="F599" s="33" t="str">
        <f>IF(Analysis!A511="","",Analysis!AN511)</f>
        <v/>
      </c>
      <c r="G599" s="33" t="str">
        <f>IF(Analysis!A511="","",Analysis!BA511)</f>
        <v/>
      </c>
      <c r="H599" s="34" t="str">
        <f>IF(Analysis!A511="","",Analysis!BJ511)</f>
        <v/>
      </c>
      <c r="I599" s="33" t="str">
        <f>IF(Analysis!A511="","",Analysis!BK511)</f>
        <v/>
      </c>
    </row>
    <row r="600" spans="1:9" ht="14.25" customHeight="1" x14ac:dyDescent="0.25">
      <c r="A600" s="32" t="str">
        <f>IF(Analysis!A512="","",Analysis!A512)</f>
        <v/>
      </c>
      <c r="B600" s="33" t="str">
        <f>IF(Analysis!A512="","",Analysis!B512)</f>
        <v/>
      </c>
      <c r="C600" s="33" t="str">
        <f>IF(Analysis!A512="","",Analysis!C512)</f>
        <v/>
      </c>
      <c r="D600" s="33" t="str">
        <f>IF(Analysis!A512="","",Analysis!F512)</f>
        <v/>
      </c>
      <c r="E600" s="33" t="str">
        <f>IF(Analysis!A512="","",Analysis!BG512)</f>
        <v/>
      </c>
      <c r="F600" s="33" t="str">
        <f>IF(Analysis!A512="","",Analysis!AN512)</f>
        <v/>
      </c>
      <c r="G600" s="33" t="str">
        <f>IF(Analysis!A512="","",Analysis!BA512)</f>
        <v/>
      </c>
      <c r="H600" s="34" t="str">
        <f>IF(Analysis!A512="","",Analysis!BJ512)</f>
        <v/>
      </c>
      <c r="I600" s="33" t="str">
        <f>IF(Analysis!A512="","",Analysis!BK512)</f>
        <v/>
      </c>
    </row>
    <row r="601" spans="1:9" ht="14.25" customHeight="1" x14ac:dyDescent="0.25">
      <c r="A601" s="32" t="str">
        <f>IF(Analysis!A513="","",Analysis!A513)</f>
        <v/>
      </c>
      <c r="B601" s="33" t="str">
        <f>IF(Analysis!A513="","",Analysis!B513)</f>
        <v/>
      </c>
      <c r="C601" s="33" t="str">
        <f>IF(Analysis!A513="","",Analysis!C513)</f>
        <v/>
      </c>
      <c r="D601" s="33" t="str">
        <f>IF(Analysis!A513="","",Analysis!F513)</f>
        <v/>
      </c>
      <c r="E601" s="33" t="str">
        <f>IF(Analysis!A513="","",Analysis!BG513)</f>
        <v/>
      </c>
      <c r="F601" s="33" t="str">
        <f>IF(Analysis!A513="","",Analysis!AN513)</f>
        <v/>
      </c>
      <c r="G601" s="33" t="str">
        <f>IF(Analysis!A513="","",Analysis!BA513)</f>
        <v/>
      </c>
      <c r="H601" s="34" t="str">
        <f>IF(Analysis!A513="","",Analysis!BJ513)</f>
        <v/>
      </c>
      <c r="I601" s="33" t="str">
        <f>IF(Analysis!A513="","",Analysis!BK513)</f>
        <v/>
      </c>
    </row>
    <row r="602" spans="1:9" ht="14.25" customHeight="1" x14ac:dyDescent="0.25">
      <c r="A602" s="32" t="str">
        <f>IF(Analysis!A514="","",Analysis!A514)</f>
        <v/>
      </c>
      <c r="B602" s="33" t="str">
        <f>IF(Analysis!A514="","",Analysis!B514)</f>
        <v/>
      </c>
      <c r="C602" s="33" t="str">
        <f>IF(Analysis!A514="","",Analysis!C514)</f>
        <v/>
      </c>
      <c r="D602" s="33" t="str">
        <f>IF(Analysis!A514="","",Analysis!F514)</f>
        <v/>
      </c>
      <c r="E602" s="33" t="str">
        <f>IF(Analysis!A514="","",Analysis!BG514)</f>
        <v/>
      </c>
      <c r="F602" s="33" t="str">
        <f>IF(Analysis!A514="","",Analysis!AN514)</f>
        <v/>
      </c>
      <c r="G602" s="33" t="str">
        <f>IF(Analysis!A514="","",Analysis!BA514)</f>
        <v/>
      </c>
      <c r="H602" s="34" t="str">
        <f>IF(Analysis!A514="","",Analysis!BJ514)</f>
        <v/>
      </c>
      <c r="I602" s="33" t="str">
        <f>IF(Analysis!A514="","",Analysis!BK514)</f>
        <v/>
      </c>
    </row>
    <row r="603" spans="1:9" ht="14.25" customHeight="1" x14ac:dyDescent="0.25">
      <c r="A603" s="32" t="str">
        <f>IF(Analysis!A515="","",Analysis!A515)</f>
        <v/>
      </c>
      <c r="B603" s="33" t="str">
        <f>IF(Analysis!A515="","",Analysis!B515)</f>
        <v/>
      </c>
      <c r="C603" s="33" t="str">
        <f>IF(Analysis!A515="","",Analysis!C515)</f>
        <v/>
      </c>
      <c r="D603" s="33" t="str">
        <f>IF(Analysis!A515="","",Analysis!F515)</f>
        <v/>
      </c>
      <c r="E603" s="33" t="str">
        <f>IF(Analysis!A515="","",Analysis!BG515)</f>
        <v/>
      </c>
      <c r="F603" s="33" t="str">
        <f>IF(Analysis!A515="","",Analysis!AN515)</f>
        <v/>
      </c>
      <c r="G603" s="33" t="str">
        <f>IF(Analysis!A515="","",Analysis!BA515)</f>
        <v/>
      </c>
      <c r="H603" s="34" t="str">
        <f>IF(Analysis!A515="","",Analysis!BJ515)</f>
        <v/>
      </c>
      <c r="I603" s="33" t="str">
        <f>IF(Analysis!A515="","",Analysis!BK515)</f>
        <v/>
      </c>
    </row>
    <row r="604" spans="1:9" ht="14.25" customHeight="1" x14ac:dyDescent="0.25">
      <c r="A604" s="32" t="str">
        <f>IF(Analysis!A516="","",Analysis!A516)</f>
        <v/>
      </c>
      <c r="B604" s="33" t="str">
        <f>IF(Analysis!A516="","",Analysis!B516)</f>
        <v/>
      </c>
      <c r="C604" s="33" t="str">
        <f>IF(Analysis!A516="","",Analysis!C516)</f>
        <v/>
      </c>
      <c r="D604" s="33" t="str">
        <f>IF(Analysis!A516="","",Analysis!F516)</f>
        <v/>
      </c>
      <c r="E604" s="33" t="str">
        <f>IF(Analysis!A516="","",Analysis!BG516)</f>
        <v/>
      </c>
      <c r="F604" s="33" t="str">
        <f>IF(Analysis!A516="","",Analysis!AN516)</f>
        <v/>
      </c>
      <c r="G604" s="33" t="str">
        <f>IF(Analysis!A516="","",Analysis!BA516)</f>
        <v/>
      </c>
      <c r="H604" s="34" t="str">
        <f>IF(Analysis!A516="","",Analysis!BJ516)</f>
        <v/>
      </c>
      <c r="I604" s="33" t="str">
        <f>IF(Analysis!A516="","",Analysis!BK516)</f>
        <v/>
      </c>
    </row>
    <row r="605" spans="1:9" ht="14.25" customHeight="1" x14ac:dyDescent="0.25">
      <c r="A605" s="32" t="str">
        <f>IF(Analysis!A517="","",Analysis!A517)</f>
        <v/>
      </c>
      <c r="B605" s="33" t="str">
        <f>IF(Analysis!A517="","",Analysis!B517)</f>
        <v/>
      </c>
      <c r="C605" s="33" t="str">
        <f>IF(Analysis!A517="","",Analysis!C517)</f>
        <v/>
      </c>
      <c r="D605" s="33" t="str">
        <f>IF(Analysis!A517="","",Analysis!F517)</f>
        <v/>
      </c>
      <c r="E605" s="33" t="str">
        <f>IF(Analysis!A517="","",Analysis!BG517)</f>
        <v/>
      </c>
      <c r="F605" s="33" t="str">
        <f>IF(Analysis!A517="","",Analysis!AN517)</f>
        <v/>
      </c>
      <c r="G605" s="33" t="str">
        <f>IF(Analysis!A517="","",Analysis!BA517)</f>
        <v/>
      </c>
      <c r="H605" s="34" t="str">
        <f>IF(Analysis!A517="","",Analysis!BJ517)</f>
        <v/>
      </c>
      <c r="I605" s="33" t="str">
        <f>IF(Analysis!A517="","",Analysis!BK517)</f>
        <v/>
      </c>
    </row>
    <row r="606" spans="1:9" ht="14.25" customHeight="1" x14ac:dyDescent="0.25">
      <c r="A606" s="32" t="str">
        <f>IF(Analysis!A518="","",Analysis!A518)</f>
        <v/>
      </c>
      <c r="B606" s="33" t="str">
        <f>IF(Analysis!A518="","",Analysis!B518)</f>
        <v/>
      </c>
      <c r="C606" s="33" t="str">
        <f>IF(Analysis!A518="","",Analysis!C518)</f>
        <v/>
      </c>
      <c r="D606" s="33" t="str">
        <f>IF(Analysis!A518="","",Analysis!F518)</f>
        <v/>
      </c>
      <c r="E606" s="33" t="str">
        <f>IF(Analysis!A518="","",Analysis!BG518)</f>
        <v/>
      </c>
      <c r="F606" s="33" t="str">
        <f>IF(Analysis!A518="","",Analysis!AN518)</f>
        <v/>
      </c>
      <c r="G606" s="33" t="str">
        <f>IF(Analysis!A518="","",Analysis!BA518)</f>
        <v/>
      </c>
      <c r="H606" s="34" t="str">
        <f>IF(Analysis!A518="","",Analysis!BJ518)</f>
        <v/>
      </c>
      <c r="I606" s="33" t="str">
        <f>IF(Analysis!A518="","",Analysis!BK518)</f>
        <v/>
      </c>
    </row>
    <row r="607" spans="1:9" ht="14.25" customHeight="1" x14ac:dyDescent="0.25">
      <c r="A607" s="32" t="str">
        <f>IF(Analysis!A519="","",Analysis!A519)</f>
        <v/>
      </c>
      <c r="B607" s="33" t="str">
        <f>IF(Analysis!A519="","",Analysis!B519)</f>
        <v/>
      </c>
      <c r="C607" s="33" t="str">
        <f>IF(Analysis!A519="","",Analysis!C519)</f>
        <v/>
      </c>
      <c r="D607" s="33" t="str">
        <f>IF(Analysis!A519="","",Analysis!F519)</f>
        <v/>
      </c>
      <c r="E607" s="33" t="str">
        <f>IF(Analysis!A519="","",Analysis!BG519)</f>
        <v/>
      </c>
      <c r="F607" s="33" t="str">
        <f>IF(Analysis!A519="","",Analysis!AN519)</f>
        <v/>
      </c>
      <c r="G607" s="33" t="str">
        <f>IF(Analysis!A519="","",Analysis!BA519)</f>
        <v/>
      </c>
      <c r="H607" s="34" t="str">
        <f>IF(Analysis!A519="","",Analysis!BJ519)</f>
        <v/>
      </c>
      <c r="I607" s="33" t="str">
        <f>IF(Analysis!A519="","",Analysis!BK519)</f>
        <v/>
      </c>
    </row>
    <row r="608" spans="1:9" ht="14.25" customHeight="1" x14ac:dyDescent="0.25">
      <c r="A608" s="32" t="str">
        <f>IF(Analysis!A520="","",Analysis!A520)</f>
        <v/>
      </c>
      <c r="B608" s="33" t="str">
        <f>IF(Analysis!A520="","",Analysis!B520)</f>
        <v/>
      </c>
      <c r="C608" s="33" t="str">
        <f>IF(Analysis!A520="","",Analysis!C520)</f>
        <v/>
      </c>
      <c r="D608" s="33" t="str">
        <f>IF(Analysis!A520="","",Analysis!F520)</f>
        <v/>
      </c>
      <c r="E608" s="33" t="str">
        <f>IF(Analysis!A520="","",Analysis!BG520)</f>
        <v/>
      </c>
      <c r="F608" s="33" t="str">
        <f>IF(Analysis!A520="","",Analysis!AN520)</f>
        <v/>
      </c>
      <c r="G608" s="33" t="str">
        <f>IF(Analysis!A520="","",Analysis!BA520)</f>
        <v/>
      </c>
      <c r="H608" s="34" t="str">
        <f>IF(Analysis!A520="","",Analysis!BJ520)</f>
        <v/>
      </c>
      <c r="I608" s="33" t="str">
        <f>IF(Analysis!A520="","",Analysis!BK520)</f>
        <v/>
      </c>
    </row>
    <row r="609" spans="1:9" ht="14.25" customHeight="1" x14ac:dyDescent="0.25">
      <c r="A609" s="32" t="str">
        <f>IF(Analysis!A521="","",Analysis!A521)</f>
        <v/>
      </c>
      <c r="B609" s="33" t="str">
        <f>IF(Analysis!A521="","",Analysis!B521)</f>
        <v/>
      </c>
      <c r="C609" s="33" t="str">
        <f>IF(Analysis!A521="","",Analysis!C521)</f>
        <v/>
      </c>
      <c r="D609" s="33" t="str">
        <f>IF(Analysis!A521="","",Analysis!F521)</f>
        <v/>
      </c>
      <c r="E609" s="33" t="str">
        <f>IF(Analysis!A521="","",Analysis!BG521)</f>
        <v/>
      </c>
      <c r="F609" s="33" t="str">
        <f>IF(Analysis!A521="","",Analysis!AN521)</f>
        <v/>
      </c>
      <c r="G609" s="33" t="str">
        <f>IF(Analysis!A521="","",Analysis!BA521)</f>
        <v/>
      </c>
      <c r="H609" s="34" t="str">
        <f>IF(Analysis!A521="","",Analysis!BJ521)</f>
        <v/>
      </c>
      <c r="I609" s="33" t="str">
        <f>IF(Analysis!A521="","",Analysis!BK521)</f>
        <v/>
      </c>
    </row>
    <row r="610" spans="1:9" ht="14.25" customHeight="1" x14ac:dyDescent="0.25">
      <c r="A610" s="32" t="str">
        <f>IF(Analysis!A522="","",Analysis!A522)</f>
        <v/>
      </c>
      <c r="B610" s="33" t="str">
        <f>IF(Analysis!A522="","",Analysis!B522)</f>
        <v/>
      </c>
      <c r="C610" s="33" t="str">
        <f>IF(Analysis!A522="","",Analysis!C522)</f>
        <v/>
      </c>
      <c r="D610" s="33" t="str">
        <f>IF(Analysis!A522="","",Analysis!F522)</f>
        <v/>
      </c>
      <c r="E610" s="33" t="str">
        <f>IF(Analysis!A522="","",Analysis!BG522)</f>
        <v/>
      </c>
      <c r="F610" s="33" t="str">
        <f>IF(Analysis!A522="","",Analysis!AN522)</f>
        <v/>
      </c>
      <c r="G610" s="33" t="str">
        <f>IF(Analysis!A522="","",Analysis!BA522)</f>
        <v/>
      </c>
      <c r="H610" s="34" t="str">
        <f>IF(Analysis!A522="","",Analysis!BJ522)</f>
        <v/>
      </c>
      <c r="I610" s="33" t="str">
        <f>IF(Analysis!A522="","",Analysis!BK522)</f>
        <v/>
      </c>
    </row>
    <row r="611" spans="1:9" ht="14.25" customHeight="1" x14ac:dyDescent="0.25">
      <c r="A611" s="32" t="str">
        <f>IF(Analysis!A523="","",Analysis!A523)</f>
        <v/>
      </c>
      <c r="B611" s="33" t="str">
        <f>IF(Analysis!A523="","",Analysis!B523)</f>
        <v/>
      </c>
      <c r="C611" s="33" t="str">
        <f>IF(Analysis!A523="","",Analysis!C523)</f>
        <v/>
      </c>
      <c r="D611" s="33" t="str">
        <f>IF(Analysis!A523="","",Analysis!F523)</f>
        <v/>
      </c>
      <c r="E611" s="33" t="str">
        <f>IF(Analysis!A523="","",Analysis!BG523)</f>
        <v/>
      </c>
      <c r="F611" s="33" t="str">
        <f>IF(Analysis!A523="","",Analysis!AN523)</f>
        <v/>
      </c>
      <c r="G611" s="33" t="str">
        <f>IF(Analysis!A523="","",Analysis!BA523)</f>
        <v/>
      </c>
      <c r="H611" s="34" t="str">
        <f>IF(Analysis!A523="","",Analysis!BJ523)</f>
        <v/>
      </c>
      <c r="I611" s="33" t="str">
        <f>IF(Analysis!A523="","",Analysis!BK523)</f>
        <v/>
      </c>
    </row>
    <row r="612" spans="1:9" ht="14.25" customHeight="1" x14ac:dyDescent="0.25">
      <c r="A612" s="32" t="str">
        <f>IF(Analysis!A524="","",Analysis!A524)</f>
        <v/>
      </c>
      <c r="B612" s="33" t="str">
        <f>IF(Analysis!A524="","",Analysis!B524)</f>
        <v/>
      </c>
      <c r="C612" s="33" t="str">
        <f>IF(Analysis!A524="","",Analysis!C524)</f>
        <v/>
      </c>
      <c r="D612" s="33" t="str">
        <f>IF(Analysis!A524="","",Analysis!F524)</f>
        <v/>
      </c>
      <c r="E612" s="33" t="str">
        <f>IF(Analysis!A524="","",Analysis!BG524)</f>
        <v/>
      </c>
      <c r="F612" s="33" t="str">
        <f>IF(Analysis!A524="","",Analysis!AN524)</f>
        <v/>
      </c>
      <c r="G612" s="33" t="str">
        <f>IF(Analysis!A524="","",Analysis!BA524)</f>
        <v/>
      </c>
      <c r="H612" s="34" t="str">
        <f>IF(Analysis!A524="","",Analysis!BJ524)</f>
        <v/>
      </c>
      <c r="I612" s="33" t="str">
        <f>IF(Analysis!A524="","",Analysis!BK524)</f>
        <v/>
      </c>
    </row>
    <row r="613" spans="1:9" ht="14.25" customHeight="1" x14ac:dyDescent="0.25">
      <c r="A613" s="32" t="str">
        <f>IF(Analysis!A525="","",Analysis!A525)</f>
        <v/>
      </c>
      <c r="B613" s="33" t="str">
        <f>IF(Analysis!A525="","",Analysis!B525)</f>
        <v/>
      </c>
      <c r="C613" s="33" t="str">
        <f>IF(Analysis!A525="","",Analysis!C525)</f>
        <v/>
      </c>
      <c r="D613" s="33" t="str">
        <f>IF(Analysis!A525="","",Analysis!F525)</f>
        <v/>
      </c>
      <c r="E613" s="33" t="str">
        <f>IF(Analysis!A525="","",Analysis!BG525)</f>
        <v/>
      </c>
      <c r="F613" s="33" t="str">
        <f>IF(Analysis!A525="","",Analysis!AN525)</f>
        <v/>
      </c>
      <c r="G613" s="33" t="str">
        <f>IF(Analysis!A525="","",Analysis!BA525)</f>
        <v/>
      </c>
      <c r="H613" s="34" t="str">
        <f>IF(Analysis!A525="","",Analysis!BJ525)</f>
        <v/>
      </c>
      <c r="I613" s="33" t="str">
        <f>IF(Analysis!A525="","",Analysis!BK525)</f>
        <v/>
      </c>
    </row>
    <row r="614" spans="1:9" ht="14.25" customHeight="1" x14ac:dyDescent="0.25">
      <c r="A614" s="32" t="str">
        <f>IF(Analysis!A526="","",Analysis!A526)</f>
        <v/>
      </c>
      <c r="B614" s="33" t="str">
        <f>IF(Analysis!A526="","",Analysis!B526)</f>
        <v/>
      </c>
      <c r="C614" s="33" t="str">
        <f>IF(Analysis!A526="","",Analysis!C526)</f>
        <v/>
      </c>
      <c r="D614" s="33" t="str">
        <f>IF(Analysis!A526="","",Analysis!F526)</f>
        <v/>
      </c>
      <c r="E614" s="33" t="str">
        <f>IF(Analysis!A526="","",Analysis!BG526)</f>
        <v/>
      </c>
      <c r="F614" s="33" t="str">
        <f>IF(Analysis!A526="","",Analysis!AN526)</f>
        <v/>
      </c>
      <c r="G614" s="33" t="str">
        <f>IF(Analysis!A526="","",Analysis!BA526)</f>
        <v/>
      </c>
      <c r="H614" s="34" t="str">
        <f>IF(Analysis!A526="","",Analysis!BJ526)</f>
        <v/>
      </c>
      <c r="I614" s="33" t="str">
        <f>IF(Analysis!A526="","",Analysis!BK526)</f>
        <v/>
      </c>
    </row>
    <row r="615" spans="1:9" ht="14.25" customHeight="1" x14ac:dyDescent="0.25">
      <c r="A615" s="32" t="str">
        <f>IF(Analysis!A527="","",Analysis!A527)</f>
        <v/>
      </c>
      <c r="B615" s="33" t="str">
        <f>IF(Analysis!A527="","",Analysis!B527)</f>
        <v/>
      </c>
      <c r="C615" s="33" t="str">
        <f>IF(Analysis!A527="","",Analysis!C527)</f>
        <v/>
      </c>
      <c r="D615" s="33" t="str">
        <f>IF(Analysis!A527="","",Analysis!F527)</f>
        <v/>
      </c>
      <c r="E615" s="33" t="str">
        <f>IF(Analysis!A527="","",Analysis!BG527)</f>
        <v/>
      </c>
      <c r="F615" s="33" t="str">
        <f>IF(Analysis!A527="","",Analysis!AN527)</f>
        <v/>
      </c>
      <c r="G615" s="33" t="str">
        <f>IF(Analysis!A527="","",Analysis!BA527)</f>
        <v/>
      </c>
      <c r="H615" s="34" t="str">
        <f>IF(Analysis!A527="","",Analysis!BJ527)</f>
        <v/>
      </c>
      <c r="I615" s="33" t="str">
        <f>IF(Analysis!A527="","",Analysis!BK527)</f>
        <v/>
      </c>
    </row>
    <row r="616" spans="1:9" ht="14.25" customHeight="1" x14ac:dyDescent="0.25">
      <c r="A616" s="32" t="str">
        <f>IF(Analysis!A528="","",Analysis!A528)</f>
        <v/>
      </c>
      <c r="B616" s="33" t="str">
        <f>IF(Analysis!A528="","",Analysis!B528)</f>
        <v/>
      </c>
      <c r="C616" s="33" t="str">
        <f>IF(Analysis!A528="","",Analysis!C528)</f>
        <v/>
      </c>
      <c r="D616" s="33" t="str">
        <f>IF(Analysis!A528="","",Analysis!F528)</f>
        <v/>
      </c>
      <c r="E616" s="33" t="str">
        <f>IF(Analysis!A528="","",Analysis!BG528)</f>
        <v/>
      </c>
      <c r="F616" s="33" t="str">
        <f>IF(Analysis!A528="","",Analysis!AN528)</f>
        <v/>
      </c>
      <c r="G616" s="33" t="str">
        <f>IF(Analysis!A528="","",Analysis!BA528)</f>
        <v/>
      </c>
      <c r="H616" s="34" t="str">
        <f>IF(Analysis!A528="","",Analysis!BJ528)</f>
        <v/>
      </c>
      <c r="I616" s="33" t="str">
        <f>IF(Analysis!A528="","",Analysis!BK528)</f>
        <v/>
      </c>
    </row>
    <row r="617" spans="1:9" ht="14.25" customHeight="1" x14ac:dyDescent="0.25">
      <c r="A617" s="32" t="str">
        <f>IF(Analysis!A529="","",Analysis!A529)</f>
        <v/>
      </c>
      <c r="B617" s="33" t="str">
        <f>IF(Analysis!A529="","",Analysis!B529)</f>
        <v/>
      </c>
      <c r="C617" s="33" t="str">
        <f>IF(Analysis!A529="","",Analysis!C529)</f>
        <v/>
      </c>
      <c r="D617" s="33" t="str">
        <f>IF(Analysis!A529="","",Analysis!F529)</f>
        <v/>
      </c>
      <c r="E617" s="33" t="str">
        <f>IF(Analysis!A529="","",Analysis!BG529)</f>
        <v/>
      </c>
      <c r="F617" s="33" t="str">
        <f>IF(Analysis!A529="","",Analysis!AN529)</f>
        <v/>
      </c>
      <c r="G617" s="33" t="str">
        <f>IF(Analysis!A529="","",Analysis!BA529)</f>
        <v/>
      </c>
      <c r="H617" s="34" t="str">
        <f>IF(Analysis!A529="","",Analysis!BJ529)</f>
        <v/>
      </c>
      <c r="I617" s="33" t="str">
        <f>IF(Analysis!A529="","",Analysis!BK529)</f>
        <v/>
      </c>
    </row>
    <row r="618" spans="1:9" ht="14.25" customHeight="1" x14ac:dyDescent="0.25">
      <c r="A618" s="32" t="str">
        <f>IF(Analysis!A530="","",Analysis!A530)</f>
        <v/>
      </c>
      <c r="B618" s="33" t="str">
        <f>IF(Analysis!A530="","",Analysis!B530)</f>
        <v/>
      </c>
      <c r="C618" s="33" t="str">
        <f>IF(Analysis!A530="","",Analysis!C530)</f>
        <v/>
      </c>
      <c r="D618" s="33" t="str">
        <f>IF(Analysis!A530="","",Analysis!F530)</f>
        <v/>
      </c>
      <c r="E618" s="33" t="str">
        <f>IF(Analysis!A530="","",Analysis!BG530)</f>
        <v/>
      </c>
      <c r="F618" s="33" t="str">
        <f>IF(Analysis!A530="","",Analysis!AN530)</f>
        <v/>
      </c>
      <c r="G618" s="33" t="str">
        <f>IF(Analysis!A530="","",Analysis!BA530)</f>
        <v/>
      </c>
      <c r="H618" s="34" t="str">
        <f>IF(Analysis!A530="","",Analysis!BJ530)</f>
        <v/>
      </c>
      <c r="I618" s="33" t="str">
        <f>IF(Analysis!A530="","",Analysis!BK530)</f>
        <v/>
      </c>
    </row>
    <row r="619" spans="1:9" ht="14.25" customHeight="1" x14ac:dyDescent="0.25">
      <c r="A619" s="32" t="str">
        <f>IF(Analysis!A531="","",Analysis!A531)</f>
        <v/>
      </c>
      <c r="B619" s="33" t="str">
        <f>IF(Analysis!A531="","",Analysis!B531)</f>
        <v/>
      </c>
      <c r="C619" s="33" t="str">
        <f>IF(Analysis!A531="","",Analysis!C531)</f>
        <v/>
      </c>
      <c r="D619" s="33" t="str">
        <f>IF(Analysis!A531="","",Analysis!F531)</f>
        <v/>
      </c>
      <c r="E619" s="33" t="str">
        <f>IF(Analysis!A531="","",Analysis!BG531)</f>
        <v/>
      </c>
      <c r="F619" s="33" t="str">
        <f>IF(Analysis!A531="","",Analysis!AN531)</f>
        <v/>
      </c>
      <c r="G619" s="33" t="str">
        <f>IF(Analysis!A531="","",Analysis!BA531)</f>
        <v/>
      </c>
      <c r="H619" s="34" t="str">
        <f>IF(Analysis!A531="","",Analysis!BJ531)</f>
        <v/>
      </c>
      <c r="I619" s="33" t="str">
        <f>IF(Analysis!A531="","",Analysis!BK531)</f>
        <v/>
      </c>
    </row>
    <row r="620" spans="1:9" ht="14.25" customHeight="1" x14ac:dyDescent="0.25">
      <c r="A620" s="32" t="str">
        <f>IF(Analysis!A532="","",Analysis!A532)</f>
        <v/>
      </c>
      <c r="B620" s="33" t="str">
        <f>IF(Analysis!A532="","",Analysis!B532)</f>
        <v/>
      </c>
      <c r="C620" s="33" t="str">
        <f>IF(Analysis!A532="","",Analysis!C532)</f>
        <v/>
      </c>
      <c r="D620" s="33" t="str">
        <f>IF(Analysis!A532="","",Analysis!F532)</f>
        <v/>
      </c>
      <c r="E620" s="33" t="str">
        <f>IF(Analysis!A532="","",Analysis!BG532)</f>
        <v/>
      </c>
      <c r="F620" s="33" t="str">
        <f>IF(Analysis!A532="","",Analysis!AN532)</f>
        <v/>
      </c>
      <c r="G620" s="33" t="str">
        <f>IF(Analysis!A532="","",Analysis!BA532)</f>
        <v/>
      </c>
      <c r="H620" s="34" t="str">
        <f>IF(Analysis!A532="","",Analysis!BJ532)</f>
        <v/>
      </c>
      <c r="I620" s="33" t="str">
        <f>IF(Analysis!A532="","",Analysis!BK532)</f>
        <v/>
      </c>
    </row>
    <row r="621" spans="1:9" ht="14.25" customHeight="1" x14ac:dyDescent="0.25">
      <c r="A621" s="32" t="str">
        <f>IF(Analysis!A533="","",Analysis!A533)</f>
        <v/>
      </c>
      <c r="B621" s="33" t="str">
        <f>IF(Analysis!A533="","",Analysis!B533)</f>
        <v/>
      </c>
      <c r="C621" s="33" t="str">
        <f>IF(Analysis!A533="","",Analysis!C533)</f>
        <v/>
      </c>
      <c r="D621" s="33" t="str">
        <f>IF(Analysis!A533="","",Analysis!F533)</f>
        <v/>
      </c>
      <c r="E621" s="33" t="str">
        <f>IF(Analysis!A533="","",Analysis!BG533)</f>
        <v/>
      </c>
      <c r="F621" s="33" t="str">
        <f>IF(Analysis!A533="","",Analysis!AN533)</f>
        <v/>
      </c>
      <c r="G621" s="33" t="str">
        <f>IF(Analysis!A533="","",Analysis!BA533)</f>
        <v/>
      </c>
      <c r="H621" s="34" t="str">
        <f>IF(Analysis!A533="","",Analysis!BJ533)</f>
        <v/>
      </c>
      <c r="I621" s="33" t="str">
        <f>IF(Analysis!A533="","",Analysis!BK533)</f>
        <v/>
      </c>
    </row>
    <row r="622" spans="1:9" ht="14.25" customHeight="1" x14ac:dyDescent="0.25">
      <c r="A622" s="32" t="str">
        <f>IF(Analysis!A534="","",Analysis!A534)</f>
        <v/>
      </c>
      <c r="B622" s="33" t="str">
        <f>IF(Analysis!A534="","",Analysis!B534)</f>
        <v/>
      </c>
      <c r="C622" s="33" t="str">
        <f>IF(Analysis!A534="","",Analysis!C534)</f>
        <v/>
      </c>
      <c r="D622" s="33" t="str">
        <f>IF(Analysis!A534="","",Analysis!F534)</f>
        <v/>
      </c>
      <c r="E622" s="33" t="str">
        <f>IF(Analysis!A534="","",Analysis!BG534)</f>
        <v/>
      </c>
      <c r="F622" s="33" t="str">
        <f>IF(Analysis!A534="","",Analysis!AN534)</f>
        <v/>
      </c>
      <c r="G622" s="33" t="str">
        <f>IF(Analysis!A534="","",Analysis!BA534)</f>
        <v/>
      </c>
      <c r="H622" s="34" t="str">
        <f>IF(Analysis!A534="","",Analysis!BJ534)</f>
        <v/>
      </c>
      <c r="I622" s="33" t="str">
        <f>IF(Analysis!A534="","",Analysis!BK534)</f>
        <v/>
      </c>
    </row>
    <row r="623" spans="1:9" ht="14.25" customHeight="1" x14ac:dyDescent="0.25">
      <c r="A623" s="32" t="str">
        <f>IF(Analysis!A535="","",Analysis!A535)</f>
        <v/>
      </c>
      <c r="B623" s="33" t="str">
        <f>IF(Analysis!A535="","",Analysis!B535)</f>
        <v/>
      </c>
      <c r="C623" s="33" t="str">
        <f>IF(Analysis!A535="","",Analysis!C535)</f>
        <v/>
      </c>
      <c r="D623" s="33" t="str">
        <f>IF(Analysis!A535="","",Analysis!F535)</f>
        <v/>
      </c>
      <c r="E623" s="33" t="str">
        <f>IF(Analysis!A535="","",Analysis!BG535)</f>
        <v/>
      </c>
      <c r="F623" s="33" t="str">
        <f>IF(Analysis!A535="","",Analysis!AN535)</f>
        <v/>
      </c>
      <c r="G623" s="33" t="str">
        <f>IF(Analysis!A535="","",Analysis!BA535)</f>
        <v/>
      </c>
      <c r="H623" s="34" t="str">
        <f>IF(Analysis!A535="","",Analysis!BJ535)</f>
        <v/>
      </c>
      <c r="I623" s="33" t="str">
        <f>IF(Analysis!A535="","",Analysis!BK535)</f>
        <v/>
      </c>
    </row>
    <row r="624" spans="1:9" ht="14.25" customHeight="1" x14ac:dyDescent="0.25">
      <c r="A624" s="32" t="str">
        <f>IF(Analysis!A536="","",Analysis!A536)</f>
        <v/>
      </c>
      <c r="B624" s="33" t="str">
        <f>IF(Analysis!A536="","",Analysis!B536)</f>
        <v/>
      </c>
      <c r="C624" s="33" t="str">
        <f>IF(Analysis!A536="","",Analysis!C536)</f>
        <v/>
      </c>
      <c r="D624" s="33" t="str">
        <f>IF(Analysis!A536="","",Analysis!F536)</f>
        <v/>
      </c>
      <c r="E624" s="33" t="str">
        <f>IF(Analysis!A536="","",Analysis!BG536)</f>
        <v/>
      </c>
      <c r="F624" s="33" t="str">
        <f>IF(Analysis!A536="","",Analysis!AN536)</f>
        <v/>
      </c>
      <c r="G624" s="33" t="str">
        <f>IF(Analysis!A536="","",Analysis!BA536)</f>
        <v/>
      </c>
      <c r="H624" s="34" t="str">
        <f>IF(Analysis!A536="","",Analysis!BJ536)</f>
        <v/>
      </c>
      <c r="I624" s="33" t="str">
        <f>IF(Analysis!A536="","",Analysis!BK536)</f>
        <v/>
      </c>
    </row>
    <row r="625" spans="1:9" ht="14.25" customHeight="1" x14ac:dyDescent="0.25">
      <c r="A625" s="32" t="str">
        <f>IF(Analysis!A537="","",Analysis!A537)</f>
        <v/>
      </c>
      <c r="B625" s="33" t="str">
        <f>IF(Analysis!A537="","",Analysis!B537)</f>
        <v/>
      </c>
      <c r="C625" s="33" t="str">
        <f>IF(Analysis!A537="","",Analysis!C537)</f>
        <v/>
      </c>
      <c r="D625" s="33" t="str">
        <f>IF(Analysis!A537="","",Analysis!F537)</f>
        <v/>
      </c>
      <c r="E625" s="33" t="str">
        <f>IF(Analysis!A537="","",Analysis!BG537)</f>
        <v/>
      </c>
      <c r="F625" s="33" t="str">
        <f>IF(Analysis!A537="","",Analysis!AN537)</f>
        <v/>
      </c>
      <c r="G625" s="33" t="str">
        <f>IF(Analysis!A537="","",Analysis!BA537)</f>
        <v/>
      </c>
      <c r="H625" s="34" t="str">
        <f>IF(Analysis!A537="","",Analysis!BJ537)</f>
        <v/>
      </c>
      <c r="I625" s="33" t="str">
        <f>IF(Analysis!A537="","",Analysis!BK537)</f>
        <v/>
      </c>
    </row>
    <row r="626" spans="1:9" ht="14.25" customHeight="1" x14ac:dyDescent="0.25">
      <c r="A626" s="32" t="str">
        <f>IF(Analysis!A538="","",Analysis!A538)</f>
        <v/>
      </c>
      <c r="B626" s="33" t="str">
        <f>IF(Analysis!A538="","",Analysis!B538)</f>
        <v/>
      </c>
      <c r="C626" s="33" t="str">
        <f>IF(Analysis!A538="","",Analysis!C538)</f>
        <v/>
      </c>
      <c r="D626" s="33" t="str">
        <f>IF(Analysis!A538="","",Analysis!F538)</f>
        <v/>
      </c>
      <c r="E626" s="33" t="str">
        <f>IF(Analysis!A538="","",Analysis!BG538)</f>
        <v/>
      </c>
      <c r="F626" s="33" t="str">
        <f>IF(Analysis!A538="","",Analysis!AN538)</f>
        <v/>
      </c>
      <c r="G626" s="33" t="str">
        <f>IF(Analysis!A538="","",Analysis!BA538)</f>
        <v/>
      </c>
      <c r="H626" s="34" t="str">
        <f>IF(Analysis!A538="","",Analysis!BJ538)</f>
        <v/>
      </c>
      <c r="I626" s="33" t="str">
        <f>IF(Analysis!A538="","",Analysis!BK538)</f>
        <v/>
      </c>
    </row>
    <row r="627" spans="1:9" ht="14.25" customHeight="1" x14ac:dyDescent="0.25">
      <c r="A627" s="32" t="str">
        <f>IF(Analysis!A539="","",Analysis!A539)</f>
        <v/>
      </c>
      <c r="B627" s="33" t="str">
        <f>IF(Analysis!A539="","",Analysis!B539)</f>
        <v/>
      </c>
      <c r="C627" s="33" t="str">
        <f>IF(Analysis!A539="","",Analysis!C539)</f>
        <v/>
      </c>
      <c r="D627" s="33" t="str">
        <f>IF(Analysis!A539="","",Analysis!F539)</f>
        <v/>
      </c>
      <c r="E627" s="33" t="str">
        <f>IF(Analysis!A539="","",Analysis!BG539)</f>
        <v/>
      </c>
      <c r="F627" s="33" t="str">
        <f>IF(Analysis!A539="","",Analysis!AN539)</f>
        <v/>
      </c>
      <c r="G627" s="33" t="str">
        <f>IF(Analysis!A539="","",Analysis!BA539)</f>
        <v/>
      </c>
      <c r="H627" s="34" t="str">
        <f>IF(Analysis!A539="","",Analysis!BJ539)</f>
        <v/>
      </c>
      <c r="I627" s="33" t="str">
        <f>IF(Analysis!A539="","",Analysis!BK539)</f>
        <v/>
      </c>
    </row>
    <row r="628" spans="1:9" ht="14.25" customHeight="1" x14ac:dyDescent="0.25">
      <c r="A628" s="32" t="str">
        <f>IF(Analysis!A540="","",Analysis!A540)</f>
        <v/>
      </c>
      <c r="B628" s="33" t="str">
        <f>IF(Analysis!A540="","",Analysis!B540)</f>
        <v/>
      </c>
      <c r="C628" s="33" t="str">
        <f>IF(Analysis!A540="","",Analysis!C540)</f>
        <v/>
      </c>
      <c r="D628" s="33" t="str">
        <f>IF(Analysis!A540="","",Analysis!F540)</f>
        <v/>
      </c>
      <c r="E628" s="33" t="str">
        <f>IF(Analysis!A540="","",Analysis!BG540)</f>
        <v/>
      </c>
      <c r="F628" s="33" t="str">
        <f>IF(Analysis!A540="","",Analysis!AN540)</f>
        <v/>
      </c>
      <c r="G628" s="33" t="str">
        <f>IF(Analysis!A540="","",Analysis!BA540)</f>
        <v/>
      </c>
      <c r="H628" s="34" t="str">
        <f>IF(Analysis!A540="","",Analysis!BJ540)</f>
        <v/>
      </c>
      <c r="I628" s="33" t="str">
        <f>IF(Analysis!A540="","",Analysis!BK540)</f>
        <v/>
      </c>
    </row>
    <row r="629" spans="1:9" ht="14.25" customHeight="1" x14ac:dyDescent="0.25">
      <c r="A629" s="32" t="str">
        <f>IF(Analysis!A541="","",Analysis!A541)</f>
        <v/>
      </c>
      <c r="B629" s="33" t="str">
        <f>IF(Analysis!A541="","",Analysis!B541)</f>
        <v/>
      </c>
      <c r="C629" s="33" t="str">
        <f>IF(Analysis!A541="","",Analysis!C541)</f>
        <v/>
      </c>
      <c r="D629" s="33" t="str">
        <f>IF(Analysis!A541="","",Analysis!F541)</f>
        <v/>
      </c>
      <c r="E629" s="33" t="str">
        <f>IF(Analysis!A541="","",Analysis!BG541)</f>
        <v/>
      </c>
      <c r="F629" s="33" t="str">
        <f>IF(Analysis!A541="","",Analysis!AN541)</f>
        <v/>
      </c>
      <c r="G629" s="33" t="str">
        <f>IF(Analysis!A541="","",Analysis!BA541)</f>
        <v/>
      </c>
      <c r="H629" s="34" t="str">
        <f>IF(Analysis!A541="","",Analysis!BJ541)</f>
        <v/>
      </c>
      <c r="I629" s="33" t="str">
        <f>IF(Analysis!A541="","",Analysis!BK541)</f>
        <v/>
      </c>
    </row>
    <row r="630" spans="1:9" ht="14.25" customHeight="1" x14ac:dyDescent="0.25">
      <c r="A630" s="32" t="str">
        <f>IF(Analysis!A542="","",Analysis!A542)</f>
        <v/>
      </c>
      <c r="B630" s="33" t="str">
        <f>IF(Analysis!A542="","",Analysis!B542)</f>
        <v/>
      </c>
      <c r="C630" s="33" t="str">
        <f>IF(Analysis!A542="","",Analysis!C542)</f>
        <v/>
      </c>
      <c r="D630" s="33" t="str">
        <f>IF(Analysis!A542="","",Analysis!F542)</f>
        <v/>
      </c>
      <c r="E630" s="33" t="str">
        <f>IF(Analysis!A542="","",Analysis!BG542)</f>
        <v/>
      </c>
      <c r="F630" s="33" t="str">
        <f>IF(Analysis!A542="","",Analysis!AN542)</f>
        <v/>
      </c>
      <c r="G630" s="33" t="str">
        <f>IF(Analysis!A542="","",Analysis!BA542)</f>
        <v/>
      </c>
      <c r="H630" s="34" t="str">
        <f>IF(Analysis!A542="","",Analysis!BJ542)</f>
        <v/>
      </c>
      <c r="I630" s="33" t="str">
        <f>IF(Analysis!A542="","",Analysis!BK542)</f>
        <v/>
      </c>
    </row>
    <row r="631" spans="1:9" ht="14.25" customHeight="1" x14ac:dyDescent="0.25">
      <c r="A631" s="32" t="str">
        <f>IF(Analysis!A543="","",Analysis!A543)</f>
        <v/>
      </c>
      <c r="B631" s="33" t="str">
        <f>IF(Analysis!A543="","",Analysis!B543)</f>
        <v/>
      </c>
      <c r="C631" s="33" t="str">
        <f>IF(Analysis!A543="","",Analysis!C543)</f>
        <v/>
      </c>
      <c r="D631" s="33" t="str">
        <f>IF(Analysis!A543="","",Analysis!F543)</f>
        <v/>
      </c>
      <c r="E631" s="33" t="str">
        <f>IF(Analysis!A543="","",Analysis!BG543)</f>
        <v/>
      </c>
      <c r="F631" s="33" t="str">
        <f>IF(Analysis!A543="","",Analysis!AN543)</f>
        <v/>
      </c>
      <c r="G631" s="33" t="str">
        <f>IF(Analysis!A543="","",Analysis!BA543)</f>
        <v/>
      </c>
      <c r="H631" s="34" t="str">
        <f>IF(Analysis!A543="","",Analysis!BJ543)</f>
        <v/>
      </c>
      <c r="I631" s="33" t="str">
        <f>IF(Analysis!A543="","",Analysis!BK543)</f>
        <v/>
      </c>
    </row>
    <row r="632" spans="1:9" ht="14.25" customHeight="1" x14ac:dyDescent="0.25">
      <c r="A632" s="32" t="str">
        <f>IF(Analysis!A544="","",Analysis!A544)</f>
        <v/>
      </c>
      <c r="B632" s="33" t="str">
        <f>IF(Analysis!A544="","",Analysis!B544)</f>
        <v/>
      </c>
      <c r="C632" s="33" t="str">
        <f>IF(Analysis!A544="","",Analysis!C544)</f>
        <v/>
      </c>
      <c r="D632" s="33" t="str">
        <f>IF(Analysis!A544="","",Analysis!F544)</f>
        <v/>
      </c>
      <c r="E632" s="33" t="str">
        <f>IF(Analysis!A544="","",Analysis!BG544)</f>
        <v/>
      </c>
      <c r="F632" s="33" t="str">
        <f>IF(Analysis!A544="","",Analysis!AN544)</f>
        <v/>
      </c>
      <c r="G632" s="33" t="str">
        <f>IF(Analysis!A544="","",Analysis!BA544)</f>
        <v/>
      </c>
      <c r="H632" s="34" t="str">
        <f>IF(Analysis!A544="","",Analysis!BJ544)</f>
        <v/>
      </c>
      <c r="I632" s="33" t="str">
        <f>IF(Analysis!A544="","",Analysis!BK544)</f>
        <v/>
      </c>
    </row>
    <row r="633" spans="1:9" ht="14.25" customHeight="1" x14ac:dyDescent="0.25">
      <c r="A633" s="32" t="str">
        <f>IF(Analysis!A545="","",Analysis!A545)</f>
        <v/>
      </c>
      <c r="B633" s="33" t="str">
        <f>IF(Analysis!A545="","",Analysis!B545)</f>
        <v/>
      </c>
      <c r="C633" s="33" t="str">
        <f>IF(Analysis!A545="","",Analysis!C545)</f>
        <v/>
      </c>
      <c r="D633" s="33" t="str">
        <f>IF(Analysis!A545="","",Analysis!F545)</f>
        <v/>
      </c>
      <c r="E633" s="33" t="str">
        <f>IF(Analysis!A545="","",Analysis!BG545)</f>
        <v/>
      </c>
      <c r="F633" s="33" t="str">
        <f>IF(Analysis!A545="","",Analysis!AN545)</f>
        <v/>
      </c>
      <c r="G633" s="33" t="str">
        <f>IF(Analysis!A545="","",Analysis!BA545)</f>
        <v/>
      </c>
      <c r="H633" s="34" t="str">
        <f>IF(Analysis!A545="","",Analysis!BJ545)</f>
        <v/>
      </c>
      <c r="I633" s="33" t="str">
        <f>IF(Analysis!A545="","",Analysis!BK545)</f>
        <v/>
      </c>
    </row>
    <row r="634" spans="1:9" ht="14.25" customHeight="1" x14ac:dyDescent="0.25">
      <c r="A634" s="32" t="str">
        <f>IF(Analysis!A546="","",Analysis!A546)</f>
        <v/>
      </c>
      <c r="B634" s="33" t="str">
        <f>IF(Analysis!A546="","",Analysis!B546)</f>
        <v/>
      </c>
      <c r="C634" s="33" t="str">
        <f>IF(Analysis!A546="","",Analysis!C546)</f>
        <v/>
      </c>
      <c r="D634" s="33" t="str">
        <f>IF(Analysis!A546="","",Analysis!F546)</f>
        <v/>
      </c>
      <c r="E634" s="33" t="str">
        <f>IF(Analysis!A546="","",Analysis!BG546)</f>
        <v/>
      </c>
      <c r="F634" s="33" t="str">
        <f>IF(Analysis!A546="","",Analysis!AN546)</f>
        <v/>
      </c>
      <c r="G634" s="33" t="str">
        <f>IF(Analysis!A546="","",Analysis!BA546)</f>
        <v/>
      </c>
      <c r="H634" s="34" t="str">
        <f>IF(Analysis!A546="","",Analysis!BJ546)</f>
        <v/>
      </c>
      <c r="I634" s="33" t="str">
        <f>IF(Analysis!A546="","",Analysis!BK546)</f>
        <v/>
      </c>
    </row>
    <row r="635" spans="1:9" ht="14.25" customHeight="1" x14ac:dyDescent="0.25">
      <c r="A635" s="32" t="str">
        <f>IF(Analysis!A547="","",Analysis!A547)</f>
        <v/>
      </c>
      <c r="B635" s="33" t="str">
        <f>IF(Analysis!A547="","",Analysis!B547)</f>
        <v/>
      </c>
      <c r="C635" s="33" t="str">
        <f>IF(Analysis!A547="","",Analysis!C547)</f>
        <v/>
      </c>
      <c r="D635" s="33" t="str">
        <f>IF(Analysis!A547="","",Analysis!F547)</f>
        <v/>
      </c>
      <c r="E635" s="33" t="str">
        <f>IF(Analysis!A547="","",Analysis!BG547)</f>
        <v/>
      </c>
      <c r="F635" s="33" t="str">
        <f>IF(Analysis!A547="","",Analysis!AN547)</f>
        <v/>
      </c>
      <c r="G635" s="33" t="str">
        <f>IF(Analysis!A547="","",Analysis!BA547)</f>
        <v/>
      </c>
      <c r="H635" s="34" t="str">
        <f>IF(Analysis!A547="","",Analysis!BJ547)</f>
        <v/>
      </c>
      <c r="I635" s="33" t="str">
        <f>IF(Analysis!A547="","",Analysis!BK547)</f>
        <v/>
      </c>
    </row>
    <row r="636" spans="1:9" ht="14.25" customHeight="1" x14ac:dyDescent="0.25">
      <c r="A636" s="32" t="str">
        <f>IF(Analysis!A548="","",Analysis!A548)</f>
        <v/>
      </c>
      <c r="B636" s="33" t="str">
        <f>IF(Analysis!A548="","",Analysis!B548)</f>
        <v/>
      </c>
      <c r="C636" s="33" t="str">
        <f>IF(Analysis!A548="","",Analysis!C548)</f>
        <v/>
      </c>
      <c r="D636" s="33" t="str">
        <f>IF(Analysis!A548="","",Analysis!F548)</f>
        <v/>
      </c>
      <c r="E636" s="33" t="str">
        <f>IF(Analysis!A548="","",Analysis!BG548)</f>
        <v/>
      </c>
      <c r="F636" s="33" t="str">
        <f>IF(Analysis!A548="","",Analysis!AN548)</f>
        <v/>
      </c>
      <c r="G636" s="33" t="str">
        <f>IF(Analysis!A548="","",Analysis!BA548)</f>
        <v/>
      </c>
      <c r="H636" s="34" t="str">
        <f>IF(Analysis!A548="","",Analysis!BJ548)</f>
        <v/>
      </c>
      <c r="I636" s="33" t="str">
        <f>IF(Analysis!A548="","",Analysis!BK548)</f>
        <v/>
      </c>
    </row>
    <row r="637" spans="1:9" ht="14.25" customHeight="1" x14ac:dyDescent="0.25">
      <c r="A637" s="32" t="str">
        <f>IF(Analysis!A549="","",Analysis!A549)</f>
        <v/>
      </c>
      <c r="B637" s="33" t="str">
        <f>IF(Analysis!A549="","",Analysis!B549)</f>
        <v/>
      </c>
      <c r="C637" s="33" t="str">
        <f>IF(Analysis!A549="","",Analysis!C549)</f>
        <v/>
      </c>
      <c r="D637" s="33" t="str">
        <f>IF(Analysis!A549="","",Analysis!F549)</f>
        <v/>
      </c>
      <c r="E637" s="33" t="str">
        <f>IF(Analysis!A549="","",Analysis!BG549)</f>
        <v/>
      </c>
      <c r="F637" s="33" t="str">
        <f>IF(Analysis!A549="","",Analysis!AN549)</f>
        <v/>
      </c>
      <c r="G637" s="33" t="str">
        <f>IF(Analysis!A549="","",Analysis!BA549)</f>
        <v/>
      </c>
      <c r="H637" s="34" t="str">
        <f>IF(Analysis!A549="","",Analysis!BJ549)</f>
        <v/>
      </c>
      <c r="I637" s="33" t="str">
        <f>IF(Analysis!A549="","",Analysis!BK549)</f>
        <v/>
      </c>
    </row>
    <row r="638" spans="1:9" ht="14.25" customHeight="1" x14ac:dyDescent="0.25">
      <c r="A638" s="32" t="str">
        <f>IF(Analysis!A550="","",Analysis!A550)</f>
        <v/>
      </c>
      <c r="B638" s="33" t="str">
        <f>IF(Analysis!A550="","",Analysis!B550)</f>
        <v/>
      </c>
      <c r="C638" s="33" t="str">
        <f>IF(Analysis!A550="","",Analysis!C550)</f>
        <v/>
      </c>
      <c r="D638" s="33" t="str">
        <f>IF(Analysis!A550="","",Analysis!F550)</f>
        <v/>
      </c>
      <c r="E638" s="33" t="str">
        <f>IF(Analysis!A550="","",Analysis!BG550)</f>
        <v/>
      </c>
      <c r="F638" s="33" t="str">
        <f>IF(Analysis!A550="","",Analysis!AN550)</f>
        <v/>
      </c>
      <c r="G638" s="33" t="str">
        <f>IF(Analysis!A550="","",Analysis!BA550)</f>
        <v/>
      </c>
      <c r="H638" s="34" t="str">
        <f>IF(Analysis!A550="","",Analysis!BJ550)</f>
        <v/>
      </c>
      <c r="I638" s="33" t="str">
        <f>IF(Analysis!A550="","",Analysis!BK550)</f>
        <v/>
      </c>
    </row>
    <row r="639" spans="1:9" ht="14.25" customHeight="1" x14ac:dyDescent="0.25">
      <c r="A639" s="32" t="str">
        <f>IF(Analysis!A551="","",Analysis!A551)</f>
        <v/>
      </c>
      <c r="B639" s="33" t="str">
        <f>IF(Analysis!A551="","",Analysis!B551)</f>
        <v/>
      </c>
      <c r="C639" s="33" t="str">
        <f>IF(Analysis!A551="","",Analysis!C551)</f>
        <v/>
      </c>
      <c r="D639" s="33" t="str">
        <f>IF(Analysis!A551="","",Analysis!F551)</f>
        <v/>
      </c>
      <c r="E639" s="33" t="str">
        <f>IF(Analysis!A551="","",Analysis!BG551)</f>
        <v/>
      </c>
      <c r="F639" s="33" t="str">
        <f>IF(Analysis!A551="","",Analysis!AN551)</f>
        <v/>
      </c>
      <c r="G639" s="33" t="str">
        <f>IF(Analysis!A551="","",Analysis!BA551)</f>
        <v/>
      </c>
      <c r="H639" s="34" t="str">
        <f>IF(Analysis!A551="","",Analysis!BJ551)</f>
        <v/>
      </c>
      <c r="I639" s="33" t="str">
        <f>IF(Analysis!A551="","",Analysis!BK551)</f>
        <v/>
      </c>
    </row>
    <row r="640" spans="1:9" ht="14.25" customHeight="1" x14ac:dyDescent="0.25">
      <c r="A640" s="32" t="str">
        <f>IF(Analysis!A552="","",Analysis!A552)</f>
        <v/>
      </c>
      <c r="B640" s="33" t="str">
        <f>IF(Analysis!A552="","",Analysis!B552)</f>
        <v/>
      </c>
      <c r="C640" s="33" t="str">
        <f>IF(Analysis!A552="","",Analysis!C552)</f>
        <v/>
      </c>
      <c r="D640" s="33" t="str">
        <f>IF(Analysis!A552="","",Analysis!F552)</f>
        <v/>
      </c>
      <c r="E640" s="33" t="str">
        <f>IF(Analysis!A552="","",Analysis!BG552)</f>
        <v/>
      </c>
      <c r="F640" s="33" t="str">
        <f>IF(Analysis!A552="","",Analysis!AN552)</f>
        <v/>
      </c>
      <c r="G640" s="33" t="str">
        <f>IF(Analysis!A552="","",Analysis!BA552)</f>
        <v/>
      </c>
      <c r="H640" s="34" t="str">
        <f>IF(Analysis!A552="","",Analysis!BJ552)</f>
        <v/>
      </c>
      <c r="I640" s="33" t="str">
        <f>IF(Analysis!A552="","",Analysis!BK552)</f>
        <v/>
      </c>
    </row>
    <row r="641" spans="1:9" ht="14.25" customHeight="1" x14ac:dyDescent="0.25">
      <c r="A641" s="32" t="str">
        <f>IF(Analysis!A553="","",Analysis!A553)</f>
        <v/>
      </c>
      <c r="B641" s="33" t="str">
        <f>IF(Analysis!A553="","",Analysis!B553)</f>
        <v/>
      </c>
      <c r="C641" s="33" t="str">
        <f>IF(Analysis!A553="","",Analysis!C553)</f>
        <v/>
      </c>
      <c r="D641" s="33" t="str">
        <f>IF(Analysis!A553="","",Analysis!F553)</f>
        <v/>
      </c>
      <c r="E641" s="33" t="str">
        <f>IF(Analysis!A553="","",Analysis!BG553)</f>
        <v/>
      </c>
      <c r="F641" s="33" t="str">
        <f>IF(Analysis!A553="","",Analysis!AN553)</f>
        <v/>
      </c>
      <c r="G641" s="33" t="str">
        <f>IF(Analysis!A553="","",Analysis!BA553)</f>
        <v/>
      </c>
      <c r="H641" s="34" t="str">
        <f>IF(Analysis!A553="","",Analysis!BJ553)</f>
        <v/>
      </c>
      <c r="I641" s="33" t="str">
        <f>IF(Analysis!A553="","",Analysis!BK553)</f>
        <v/>
      </c>
    </row>
    <row r="642" spans="1:9" ht="14.25" customHeight="1" x14ac:dyDescent="0.25">
      <c r="A642" s="32" t="str">
        <f>IF(Analysis!A554="","",Analysis!A554)</f>
        <v/>
      </c>
      <c r="B642" s="33" t="str">
        <f>IF(Analysis!A554="","",Analysis!B554)</f>
        <v/>
      </c>
      <c r="C642" s="33" t="str">
        <f>IF(Analysis!A554="","",Analysis!C554)</f>
        <v/>
      </c>
      <c r="D642" s="33" t="str">
        <f>IF(Analysis!A554="","",Analysis!F554)</f>
        <v/>
      </c>
      <c r="E642" s="33" t="str">
        <f>IF(Analysis!A554="","",Analysis!BG554)</f>
        <v/>
      </c>
      <c r="F642" s="33" t="str">
        <f>IF(Analysis!A554="","",Analysis!AN554)</f>
        <v/>
      </c>
      <c r="G642" s="33" t="str">
        <f>IF(Analysis!A554="","",Analysis!BA554)</f>
        <v/>
      </c>
      <c r="H642" s="34" t="str">
        <f>IF(Analysis!A554="","",Analysis!BJ554)</f>
        <v/>
      </c>
      <c r="I642" s="33" t="str">
        <f>IF(Analysis!A554="","",Analysis!BK554)</f>
        <v/>
      </c>
    </row>
    <row r="643" spans="1:9" ht="14.25" customHeight="1" x14ac:dyDescent="0.25">
      <c r="A643" s="32" t="str">
        <f>IF(Analysis!A555="","",Analysis!A555)</f>
        <v/>
      </c>
      <c r="B643" s="33" t="str">
        <f>IF(Analysis!A555="","",Analysis!B555)</f>
        <v/>
      </c>
      <c r="C643" s="33" t="str">
        <f>IF(Analysis!A555="","",Analysis!C555)</f>
        <v/>
      </c>
      <c r="D643" s="33" t="str">
        <f>IF(Analysis!A555="","",Analysis!F555)</f>
        <v/>
      </c>
      <c r="E643" s="33" t="str">
        <f>IF(Analysis!A555="","",Analysis!BG555)</f>
        <v/>
      </c>
      <c r="F643" s="33" t="str">
        <f>IF(Analysis!A555="","",Analysis!AN555)</f>
        <v/>
      </c>
      <c r="G643" s="33" t="str">
        <f>IF(Analysis!A555="","",Analysis!BA555)</f>
        <v/>
      </c>
      <c r="H643" s="34" t="str">
        <f>IF(Analysis!A555="","",Analysis!BJ555)</f>
        <v/>
      </c>
      <c r="I643" s="33" t="str">
        <f>IF(Analysis!A555="","",Analysis!BK555)</f>
        <v/>
      </c>
    </row>
    <row r="644" spans="1:9" ht="14.25" customHeight="1" x14ac:dyDescent="0.25">
      <c r="A644" s="32" t="str">
        <f>IF(Analysis!A556="","",Analysis!A556)</f>
        <v/>
      </c>
      <c r="B644" s="33" t="str">
        <f>IF(Analysis!A556="","",Analysis!B556)</f>
        <v/>
      </c>
      <c r="C644" s="33" t="str">
        <f>IF(Analysis!A556="","",Analysis!C556)</f>
        <v/>
      </c>
      <c r="D644" s="33" t="str">
        <f>IF(Analysis!A556="","",Analysis!F556)</f>
        <v/>
      </c>
      <c r="E644" s="33" t="str">
        <f>IF(Analysis!A556="","",Analysis!BG556)</f>
        <v/>
      </c>
      <c r="F644" s="33" t="str">
        <f>IF(Analysis!A556="","",Analysis!AN556)</f>
        <v/>
      </c>
      <c r="G644" s="33" t="str">
        <f>IF(Analysis!A556="","",Analysis!BA556)</f>
        <v/>
      </c>
      <c r="H644" s="34" t="str">
        <f>IF(Analysis!A556="","",Analysis!BJ556)</f>
        <v/>
      </c>
      <c r="I644" s="33" t="str">
        <f>IF(Analysis!A556="","",Analysis!BK556)</f>
        <v/>
      </c>
    </row>
    <row r="645" spans="1:9" ht="14.25" customHeight="1" x14ac:dyDescent="0.25">
      <c r="A645" s="32" t="str">
        <f>IF(Analysis!A557="","",Analysis!A557)</f>
        <v/>
      </c>
      <c r="B645" s="33" t="str">
        <f>IF(Analysis!A557="","",Analysis!B557)</f>
        <v/>
      </c>
      <c r="C645" s="33" t="str">
        <f>IF(Analysis!A557="","",Analysis!C557)</f>
        <v/>
      </c>
      <c r="D645" s="33" t="str">
        <f>IF(Analysis!A557="","",Analysis!F557)</f>
        <v/>
      </c>
      <c r="E645" s="33" t="str">
        <f>IF(Analysis!A557="","",Analysis!BG557)</f>
        <v/>
      </c>
      <c r="F645" s="33" t="str">
        <f>IF(Analysis!A557="","",Analysis!AN557)</f>
        <v/>
      </c>
      <c r="G645" s="33" t="str">
        <f>IF(Analysis!A557="","",Analysis!BA557)</f>
        <v/>
      </c>
      <c r="H645" s="34" t="str">
        <f>IF(Analysis!A557="","",Analysis!BJ557)</f>
        <v/>
      </c>
      <c r="I645" s="33" t="str">
        <f>IF(Analysis!A557="","",Analysis!BK557)</f>
        <v/>
      </c>
    </row>
    <row r="646" spans="1:9" ht="14.25" customHeight="1" x14ac:dyDescent="0.25">
      <c r="A646" s="32" t="str">
        <f>IF(Analysis!A558="","",Analysis!A558)</f>
        <v/>
      </c>
      <c r="B646" s="33" t="str">
        <f>IF(Analysis!A558="","",Analysis!B558)</f>
        <v/>
      </c>
      <c r="C646" s="33" t="str">
        <f>IF(Analysis!A558="","",Analysis!C558)</f>
        <v/>
      </c>
      <c r="D646" s="33" t="str">
        <f>IF(Analysis!A558="","",Analysis!F558)</f>
        <v/>
      </c>
      <c r="E646" s="33" t="str">
        <f>IF(Analysis!A558="","",Analysis!BG558)</f>
        <v/>
      </c>
      <c r="F646" s="33" t="str">
        <f>IF(Analysis!A558="","",Analysis!AN558)</f>
        <v/>
      </c>
      <c r="G646" s="33" t="str">
        <f>IF(Analysis!A558="","",Analysis!BA558)</f>
        <v/>
      </c>
      <c r="H646" s="34" t="str">
        <f>IF(Analysis!A558="","",Analysis!BJ558)</f>
        <v/>
      </c>
      <c r="I646" s="33" t="str">
        <f>IF(Analysis!A558="","",Analysis!BK558)</f>
        <v/>
      </c>
    </row>
    <row r="647" spans="1:9" ht="14.25" customHeight="1" x14ac:dyDescent="0.25">
      <c r="A647" s="32" t="str">
        <f>IF(Analysis!A559="","",Analysis!A559)</f>
        <v/>
      </c>
      <c r="B647" s="33" t="str">
        <f>IF(Analysis!A559="","",Analysis!B559)</f>
        <v/>
      </c>
      <c r="C647" s="33" t="str">
        <f>IF(Analysis!A559="","",Analysis!C559)</f>
        <v/>
      </c>
      <c r="D647" s="33" t="str">
        <f>IF(Analysis!A559="","",Analysis!F559)</f>
        <v/>
      </c>
      <c r="E647" s="33" t="str">
        <f>IF(Analysis!A559="","",Analysis!BG559)</f>
        <v/>
      </c>
      <c r="F647" s="33" t="str">
        <f>IF(Analysis!A559="","",Analysis!AN559)</f>
        <v/>
      </c>
      <c r="G647" s="33" t="str">
        <f>IF(Analysis!A559="","",Analysis!BA559)</f>
        <v/>
      </c>
      <c r="H647" s="34" t="str">
        <f>IF(Analysis!A559="","",Analysis!BJ559)</f>
        <v/>
      </c>
      <c r="I647" s="33" t="str">
        <f>IF(Analysis!A559="","",Analysis!BK559)</f>
        <v/>
      </c>
    </row>
    <row r="648" spans="1:9" ht="14.25" customHeight="1" x14ac:dyDescent="0.25">
      <c r="A648" s="32" t="str">
        <f>IF(Analysis!A560="","",Analysis!A560)</f>
        <v/>
      </c>
      <c r="B648" s="33" t="str">
        <f>IF(Analysis!A560="","",Analysis!B560)</f>
        <v/>
      </c>
      <c r="C648" s="33" t="str">
        <f>IF(Analysis!A560="","",Analysis!C560)</f>
        <v/>
      </c>
      <c r="D648" s="33" t="str">
        <f>IF(Analysis!A560="","",Analysis!F560)</f>
        <v/>
      </c>
      <c r="E648" s="33" t="str">
        <f>IF(Analysis!A560="","",Analysis!BG560)</f>
        <v/>
      </c>
      <c r="F648" s="33" t="str">
        <f>IF(Analysis!A560="","",Analysis!AN560)</f>
        <v/>
      </c>
      <c r="G648" s="33" t="str">
        <f>IF(Analysis!A560="","",Analysis!BA560)</f>
        <v/>
      </c>
      <c r="H648" s="34" t="str">
        <f>IF(Analysis!A560="","",Analysis!BJ560)</f>
        <v/>
      </c>
      <c r="I648" s="33" t="str">
        <f>IF(Analysis!A560="","",Analysis!BK560)</f>
        <v/>
      </c>
    </row>
    <row r="649" spans="1:9" ht="14.25" customHeight="1" x14ac:dyDescent="0.25">
      <c r="A649" s="32" t="str">
        <f>IF(Analysis!A561="","",Analysis!A561)</f>
        <v/>
      </c>
      <c r="B649" s="33" t="str">
        <f>IF(Analysis!A561="","",Analysis!B561)</f>
        <v/>
      </c>
      <c r="C649" s="33" t="str">
        <f>IF(Analysis!A561="","",Analysis!C561)</f>
        <v/>
      </c>
      <c r="D649" s="33" t="str">
        <f>IF(Analysis!A561="","",Analysis!F561)</f>
        <v/>
      </c>
      <c r="E649" s="33" t="str">
        <f>IF(Analysis!A561="","",Analysis!BG561)</f>
        <v/>
      </c>
      <c r="F649" s="33" t="str">
        <f>IF(Analysis!A561="","",Analysis!AN561)</f>
        <v/>
      </c>
      <c r="G649" s="33" t="str">
        <f>IF(Analysis!A561="","",Analysis!BA561)</f>
        <v/>
      </c>
      <c r="H649" s="34" t="str">
        <f>IF(Analysis!A561="","",Analysis!BJ561)</f>
        <v/>
      </c>
      <c r="I649" s="33" t="str">
        <f>IF(Analysis!A561="","",Analysis!BK561)</f>
        <v/>
      </c>
    </row>
    <row r="650" spans="1:9" ht="14.25" customHeight="1" x14ac:dyDescent="0.25">
      <c r="A650" s="32" t="str">
        <f>IF(Analysis!A562="","",Analysis!A562)</f>
        <v/>
      </c>
      <c r="B650" s="33" t="str">
        <f>IF(Analysis!A562="","",Analysis!B562)</f>
        <v/>
      </c>
      <c r="C650" s="33" t="str">
        <f>IF(Analysis!A562="","",Analysis!C562)</f>
        <v/>
      </c>
      <c r="D650" s="33" t="str">
        <f>IF(Analysis!A562="","",Analysis!F562)</f>
        <v/>
      </c>
      <c r="E650" s="33" t="str">
        <f>IF(Analysis!A562="","",Analysis!BG562)</f>
        <v/>
      </c>
      <c r="F650" s="33" t="str">
        <f>IF(Analysis!A562="","",Analysis!AN562)</f>
        <v/>
      </c>
      <c r="G650" s="33" t="str">
        <f>IF(Analysis!A562="","",Analysis!BA562)</f>
        <v/>
      </c>
      <c r="H650" s="34" t="str">
        <f>IF(Analysis!A562="","",Analysis!BJ562)</f>
        <v/>
      </c>
      <c r="I650" s="33" t="str">
        <f>IF(Analysis!A562="","",Analysis!BK562)</f>
        <v/>
      </c>
    </row>
    <row r="651" spans="1:9" ht="14.25" customHeight="1" x14ac:dyDescent="0.25">
      <c r="A651" s="32" t="str">
        <f>IF(Analysis!A563="","",Analysis!A563)</f>
        <v/>
      </c>
      <c r="B651" s="33" t="str">
        <f>IF(Analysis!A563="","",Analysis!B563)</f>
        <v/>
      </c>
      <c r="C651" s="33" t="str">
        <f>IF(Analysis!A563="","",Analysis!C563)</f>
        <v/>
      </c>
      <c r="D651" s="33" t="str">
        <f>IF(Analysis!A563="","",Analysis!F563)</f>
        <v/>
      </c>
      <c r="E651" s="33" t="str">
        <f>IF(Analysis!A563="","",Analysis!BG563)</f>
        <v/>
      </c>
      <c r="F651" s="33" t="str">
        <f>IF(Analysis!A563="","",Analysis!AN563)</f>
        <v/>
      </c>
      <c r="G651" s="33" t="str">
        <f>IF(Analysis!A563="","",Analysis!BA563)</f>
        <v/>
      </c>
      <c r="H651" s="34" t="str">
        <f>IF(Analysis!A563="","",Analysis!BJ563)</f>
        <v/>
      </c>
      <c r="I651" s="33" t="str">
        <f>IF(Analysis!A563="","",Analysis!BK563)</f>
        <v/>
      </c>
    </row>
    <row r="652" spans="1:9" ht="14.25" customHeight="1" x14ac:dyDescent="0.25">
      <c r="A652" s="32" t="str">
        <f>IF(Analysis!A564="","",Analysis!A564)</f>
        <v/>
      </c>
      <c r="B652" s="33" t="str">
        <f>IF(Analysis!A564="","",Analysis!B564)</f>
        <v/>
      </c>
      <c r="C652" s="33" t="str">
        <f>IF(Analysis!A564="","",Analysis!C564)</f>
        <v/>
      </c>
      <c r="D652" s="33" t="str">
        <f>IF(Analysis!A564="","",Analysis!F564)</f>
        <v/>
      </c>
      <c r="E652" s="33" t="str">
        <f>IF(Analysis!A564="","",Analysis!BG564)</f>
        <v/>
      </c>
      <c r="F652" s="33" t="str">
        <f>IF(Analysis!A564="","",Analysis!AN564)</f>
        <v/>
      </c>
      <c r="G652" s="33" t="str">
        <f>IF(Analysis!A564="","",Analysis!BA564)</f>
        <v/>
      </c>
      <c r="H652" s="34" t="str">
        <f>IF(Analysis!A564="","",Analysis!BJ564)</f>
        <v/>
      </c>
      <c r="I652" s="33" t="str">
        <f>IF(Analysis!A564="","",Analysis!BK564)</f>
        <v/>
      </c>
    </row>
    <row r="653" spans="1:9" ht="14.25" customHeight="1" x14ac:dyDescent="0.25">
      <c r="A653" s="32" t="str">
        <f>IF(Analysis!A565="","",Analysis!A565)</f>
        <v/>
      </c>
      <c r="B653" s="33" t="str">
        <f>IF(Analysis!A565="","",Analysis!B565)</f>
        <v/>
      </c>
      <c r="C653" s="33" t="str">
        <f>IF(Analysis!A565="","",Analysis!C565)</f>
        <v/>
      </c>
      <c r="D653" s="33" t="str">
        <f>IF(Analysis!A565="","",Analysis!F565)</f>
        <v/>
      </c>
      <c r="E653" s="33" t="str">
        <f>IF(Analysis!A565="","",Analysis!BG565)</f>
        <v/>
      </c>
      <c r="F653" s="33" t="str">
        <f>IF(Analysis!A565="","",Analysis!AN565)</f>
        <v/>
      </c>
      <c r="G653" s="33" t="str">
        <f>IF(Analysis!A565="","",Analysis!BA565)</f>
        <v/>
      </c>
      <c r="H653" s="34" t="str">
        <f>IF(Analysis!A565="","",Analysis!BJ565)</f>
        <v/>
      </c>
      <c r="I653" s="33" t="str">
        <f>IF(Analysis!A565="","",Analysis!BK565)</f>
        <v/>
      </c>
    </row>
    <row r="654" spans="1:9" ht="14.25" customHeight="1" x14ac:dyDescent="0.25">
      <c r="A654" s="32" t="str">
        <f>IF(Analysis!A566="","",Analysis!A566)</f>
        <v/>
      </c>
      <c r="B654" s="33" t="str">
        <f>IF(Analysis!A566="","",Analysis!B566)</f>
        <v/>
      </c>
      <c r="C654" s="33" t="str">
        <f>IF(Analysis!A566="","",Analysis!C566)</f>
        <v/>
      </c>
      <c r="D654" s="33" t="str">
        <f>IF(Analysis!A566="","",Analysis!F566)</f>
        <v/>
      </c>
      <c r="E654" s="33" t="str">
        <f>IF(Analysis!A566="","",Analysis!BG566)</f>
        <v/>
      </c>
      <c r="F654" s="33" t="str">
        <f>IF(Analysis!A566="","",Analysis!AN566)</f>
        <v/>
      </c>
      <c r="G654" s="33" t="str">
        <f>IF(Analysis!A566="","",Analysis!BA566)</f>
        <v/>
      </c>
      <c r="H654" s="34" t="str">
        <f>IF(Analysis!A566="","",Analysis!BJ566)</f>
        <v/>
      </c>
      <c r="I654" s="33" t="str">
        <f>IF(Analysis!A566="","",Analysis!BK566)</f>
        <v/>
      </c>
    </row>
    <row r="655" spans="1:9" ht="14.25" customHeight="1" x14ac:dyDescent="0.25">
      <c r="A655" s="32" t="str">
        <f>IF(Analysis!A567="","",Analysis!A567)</f>
        <v/>
      </c>
      <c r="B655" s="33" t="str">
        <f>IF(Analysis!A567="","",Analysis!B567)</f>
        <v/>
      </c>
      <c r="C655" s="33" t="str">
        <f>IF(Analysis!A567="","",Analysis!C567)</f>
        <v/>
      </c>
      <c r="D655" s="33" t="str">
        <f>IF(Analysis!A567="","",Analysis!F567)</f>
        <v/>
      </c>
      <c r="E655" s="33" t="str">
        <f>IF(Analysis!A567="","",Analysis!BG567)</f>
        <v/>
      </c>
      <c r="F655" s="33" t="str">
        <f>IF(Analysis!A567="","",Analysis!AN567)</f>
        <v/>
      </c>
      <c r="G655" s="33" t="str">
        <f>IF(Analysis!A567="","",Analysis!BA567)</f>
        <v/>
      </c>
      <c r="H655" s="34" t="str">
        <f>IF(Analysis!A567="","",Analysis!BJ567)</f>
        <v/>
      </c>
      <c r="I655" s="33" t="str">
        <f>IF(Analysis!A567="","",Analysis!BK567)</f>
        <v/>
      </c>
    </row>
    <row r="656" spans="1:9" ht="14.25" customHeight="1" x14ac:dyDescent="0.25">
      <c r="A656" s="32" t="str">
        <f>IF(Analysis!A568="","",Analysis!A568)</f>
        <v/>
      </c>
      <c r="B656" s="33" t="str">
        <f>IF(Analysis!A568="","",Analysis!B568)</f>
        <v/>
      </c>
      <c r="C656" s="33" t="str">
        <f>IF(Analysis!A568="","",Analysis!C568)</f>
        <v/>
      </c>
      <c r="D656" s="33" t="str">
        <f>IF(Analysis!A568="","",Analysis!F568)</f>
        <v/>
      </c>
      <c r="E656" s="33" t="str">
        <f>IF(Analysis!A568="","",Analysis!BG568)</f>
        <v/>
      </c>
      <c r="F656" s="33" t="str">
        <f>IF(Analysis!A568="","",Analysis!AN568)</f>
        <v/>
      </c>
      <c r="G656" s="33" t="str">
        <f>IF(Analysis!A568="","",Analysis!BA568)</f>
        <v/>
      </c>
      <c r="H656" s="34" t="str">
        <f>IF(Analysis!A568="","",Analysis!BJ568)</f>
        <v/>
      </c>
      <c r="I656" s="33" t="str">
        <f>IF(Analysis!A568="","",Analysis!BK568)</f>
        <v/>
      </c>
    </row>
    <row r="657" spans="1:9" ht="14.25" customHeight="1" x14ac:dyDescent="0.25">
      <c r="A657" s="32" t="str">
        <f>IF(Analysis!A569="","",Analysis!A569)</f>
        <v/>
      </c>
      <c r="B657" s="33" t="str">
        <f>IF(Analysis!A569="","",Analysis!B569)</f>
        <v/>
      </c>
      <c r="C657" s="33" t="str">
        <f>IF(Analysis!A569="","",Analysis!C569)</f>
        <v/>
      </c>
      <c r="D657" s="33" t="str">
        <f>IF(Analysis!A569="","",Analysis!F569)</f>
        <v/>
      </c>
      <c r="E657" s="33" t="str">
        <f>IF(Analysis!A569="","",Analysis!BG569)</f>
        <v/>
      </c>
      <c r="F657" s="33" t="str">
        <f>IF(Analysis!A569="","",Analysis!AN569)</f>
        <v/>
      </c>
      <c r="G657" s="33" t="str">
        <f>IF(Analysis!A569="","",Analysis!BA569)</f>
        <v/>
      </c>
      <c r="H657" s="34" t="str">
        <f>IF(Analysis!A569="","",Analysis!BJ569)</f>
        <v/>
      </c>
      <c r="I657" s="33" t="str">
        <f>IF(Analysis!A569="","",Analysis!BK569)</f>
        <v/>
      </c>
    </row>
    <row r="658" spans="1:9" ht="14.25" customHeight="1" x14ac:dyDescent="0.25">
      <c r="A658" s="32" t="str">
        <f>IF(Analysis!A570="","",Analysis!A570)</f>
        <v/>
      </c>
      <c r="B658" s="33" t="str">
        <f>IF(Analysis!A570="","",Analysis!B570)</f>
        <v/>
      </c>
      <c r="C658" s="33" t="str">
        <f>IF(Analysis!A570="","",Analysis!C570)</f>
        <v/>
      </c>
      <c r="D658" s="33" t="str">
        <f>IF(Analysis!A570="","",Analysis!F570)</f>
        <v/>
      </c>
      <c r="E658" s="33" t="str">
        <f>IF(Analysis!A570="","",Analysis!BG570)</f>
        <v/>
      </c>
      <c r="F658" s="33" t="str">
        <f>IF(Analysis!A570="","",Analysis!AN570)</f>
        <v/>
      </c>
      <c r="G658" s="33" t="str">
        <f>IF(Analysis!A570="","",Analysis!BA570)</f>
        <v/>
      </c>
      <c r="H658" s="34" t="str">
        <f>IF(Analysis!A570="","",Analysis!BJ570)</f>
        <v/>
      </c>
      <c r="I658" s="33" t="str">
        <f>IF(Analysis!A570="","",Analysis!BK570)</f>
        <v/>
      </c>
    </row>
    <row r="659" spans="1:9" ht="14.25" customHeight="1" x14ac:dyDescent="0.25">
      <c r="A659" s="32" t="str">
        <f>IF(Analysis!A571="","",Analysis!A571)</f>
        <v/>
      </c>
      <c r="B659" s="33" t="str">
        <f>IF(Analysis!A571="","",Analysis!B571)</f>
        <v/>
      </c>
      <c r="C659" s="33" t="str">
        <f>IF(Analysis!A571="","",Analysis!C571)</f>
        <v/>
      </c>
      <c r="D659" s="33" t="str">
        <f>IF(Analysis!A571="","",Analysis!F571)</f>
        <v/>
      </c>
      <c r="E659" s="33" t="str">
        <f>IF(Analysis!A571="","",Analysis!BG571)</f>
        <v/>
      </c>
      <c r="F659" s="33" t="str">
        <f>IF(Analysis!A571="","",Analysis!AN571)</f>
        <v/>
      </c>
      <c r="G659" s="33" t="str">
        <f>IF(Analysis!A571="","",Analysis!BA571)</f>
        <v/>
      </c>
      <c r="H659" s="34" t="str">
        <f>IF(Analysis!A571="","",Analysis!BJ571)</f>
        <v/>
      </c>
      <c r="I659" s="33" t="str">
        <f>IF(Analysis!A571="","",Analysis!BK571)</f>
        <v/>
      </c>
    </row>
    <row r="660" spans="1:9" ht="14.25" customHeight="1" x14ac:dyDescent="0.25">
      <c r="A660" s="32" t="str">
        <f>IF(Analysis!A572="","",Analysis!A572)</f>
        <v/>
      </c>
      <c r="B660" s="33" t="str">
        <f>IF(Analysis!A572="","",Analysis!B572)</f>
        <v/>
      </c>
      <c r="C660" s="33" t="str">
        <f>IF(Analysis!A572="","",Analysis!C572)</f>
        <v/>
      </c>
      <c r="D660" s="33" t="str">
        <f>IF(Analysis!A572="","",Analysis!F572)</f>
        <v/>
      </c>
      <c r="E660" s="33" t="str">
        <f>IF(Analysis!A572="","",Analysis!BG572)</f>
        <v/>
      </c>
      <c r="F660" s="33" t="str">
        <f>IF(Analysis!A572="","",Analysis!AN572)</f>
        <v/>
      </c>
      <c r="G660" s="33" t="str">
        <f>IF(Analysis!A572="","",Analysis!BA572)</f>
        <v/>
      </c>
      <c r="H660" s="34" t="str">
        <f>IF(Analysis!A572="","",Analysis!BJ572)</f>
        <v/>
      </c>
      <c r="I660" s="33" t="str">
        <f>IF(Analysis!A572="","",Analysis!BK572)</f>
        <v/>
      </c>
    </row>
    <row r="661" spans="1:9" ht="14.25" customHeight="1" x14ac:dyDescent="0.25">
      <c r="A661" s="32" t="str">
        <f>IF(Analysis!A573="","",Analysis!A573)</f>
        <v/>
      </c>
      <c r="B661" s="33" t="str">
        <f>IF(Analysis!A573="","",Analysis!B573)</f>
        <v/>
      </c>
      <c r="C661" s="33" t="str">
        <f>IF(Analysis!A573="","",Analysis!C573)</f>
        <v/>
      </c>
      <c r="D661" s="33" t="str">
        <f>IF(Analysis!A573="","",Analysis!F573)</f>
        <v/>
      </c>
      <c r="E661" s="33" t="str">
        <f>IF(Analysis!A573="","",Analysis!BG573)</f>
        <v/>
      </c>
      <c r="F661" s="33" t="str">
        <f>IF(Analysis!A573="","",Analysis!AN573)</f>
        <v/>
      </c>
      <c r="G661" s="33" t="str">
        <f>IF(Analysis!A573="","",Analysis!BA573)</f>
        <v/>
      </c>
      <c r="H661" s="34" t="str">
        <f>IF(Analysis!A573="","",Analysis!BJ573)</f>
        <v/>
      </c>
      <c r="I661" s="33" t="str">
        <f>IF(Analysis!A573="","",Analysis!BK573)</f>
        <v/>
      </c>
    </row>
    <row r="662" spans="1:9" ht="14.25" customHeight="1" x14ac:dyDescent="0.25">
      <c r="A662" s="32" t="str">
        <f>IF(Analysis!A574="","",Analysis!A574)</f>
        <v/>
      </c>
      <c r="B662" s="33" t="str">
        <f>IF(Analysis!A574="","",Analysis!B574)</f>
        <v/>
      </c>
      <c r="C662" s="33" t="str">
        <f>IF(Analysis!A574="","",Analysis!C574)</f>
        <v/>
      </c>
      <c r="D662" s="33" t="str">
        <f>IF(Analysis!A574="","",Analysis!F574)</f>
        <v/>
      </c>
      <c r="E662" s="33" t="str">
        <f>IF(Analysis!A574="","",Analysis!BG574)</f>
        <v/>
      </c>
      <c r="F662" s="33" t="str">
        <f>IF(Analysis!A574="","",Analysis!AN574)</f>
        <v/>
      </c>
      <c r="G662" s="33" t="str">
        <f>IF(Analysis!A574="","",Analysis!BA574)</f>
        <v/>
      </c>
      <c r="H662" s="34" t="str">
        <f>IF(Analysis!A574="","",Analysis!BJ574)</f>
        <v/>
      </c>
      <c r="I662" s="33" t="str">
        <f>IF(Analysis!A574="","",Analysis!BK574)</f>
        <v/>
      </c>
    </row>
    <row r="663" spans="1:9" ht="14.25" customHeight="1" x14ac:dyDescent="0.25">
      <c r="A663" s="32" t="str">
        <f>IF(Analysis!A575="","",Analysis!A575)</f>
        <v/>
      </c>
      <c r="B663" s="33" t="str">
        <f>IF(Analysis!A575="","",Analysis!B575)</f>
        <v/>
      </c>
      <c r="C663" s="33" t="str">
        <f>IF(Analysis!A575="","",Analysis!C575)</f>
        <v/>
      </c>
      <c r="D663" s="33" t="str">
        <f>IF(Analysis!A575="","",Analysis!F575)</f>
        <v/>
      </c>
      <c r="E663" s="33" t="str">
        <f>IF(Analysis!A575="","",Analysis!BG575)</f>
        <v/>
      </c>
      <c r="F663" s="33" t="str">
        <f>IF(Analysis!A575="","",Analysis!AN575)</f>
        <v/>
      </c>
      <c r="G663" s="33" t="str">
        <f>IF(Analysis!A575="","",Analysis!BA575)</f>
        <v/>
      </c>
      <c r="H663" s="34" t="str">
        <f>IF(Analysis!A575="","",Analysis!BJ575)</f>
        <v/>
      </c>
      <c r="I663" s="33" t="str">
        <f>IF(Analysis!A575="","",Analysis!BK575)</f>
        <v/>
      </c>
    </row>
    <row r="664" spans="1:9" ht="14.25" customHeight="1" x14ac:dyDescent="0.25">
      <c r="A664" s="32" t="str">
        <f>IF(Analysis!A576="","",Analysis!A576)</f>
        <v/>
      </c>
      <c r="B664" s="33" t="str">
        <f>IF(Analysis!A576="","",Analysis!B576)</f>
        <v/>
      </c>
      <c r="C664" s="33" t="str">
        <f>IF(Analysis!A576="","",Analysis!C576)</f>
        <v/>
      </c>
      <c r="D664" s="33" t="str">
        <f>IF(Analysis!A576="","",Analysis!F576)</f>
        <v/>
      </c>
      <c r="E664" s="33" t="str">
        <f>IF(Analysis!A576="","",Analysis!BG576)</f>
        <v/>
      </c>
      <c r="F664" s="33" t="str">
        <f>IF(Analysis!A576="","",Analysis!AN576)</f>
        <v/>
      </c>
      <c r="G664" s="33" t="str">
        <f>IF(Analysis!A576="","",Analysis!BA576)</f>
        <v/>
      </c>
      <c r="H664" s="34" t="str">
        <f>IF(Analysis!A576="","",Analysis!BJ576)</f>
        <v/>
      </c>
      <c r="I664" s="33" t="str">
        <f>IF(Analysis!A576="","",Analysis!BK576)</f>
        <v/>
      </c>
    </row>
    <row r="665" spans="1:9" ht="14.25" customHeight="1" x14ac:dyDescent="0.25">
      <c r="A665" s="32" t="str">
        <f>IF(Analysis!A577="","",Analysis!A577)</f>
        <v/>
      </c>
      <c r="B665" s="33" t="str">
        <f>IF(Analysis!A577="","",Analysis!B577)</f>
        <v/>
      </c>
      <c r="C665" s="33" t="str">
        <f>IF(Analysis!A577="","",Analysis!C577)</f>
        <v/>
      </c>
      <c r="D665" s="33" t="str">
        <f>IF(Analysis!A577="","",Analysis!F577)</f>
        <v/>
      </c>
      <c r="E665" s="33" t="str">
        <f>IF(Analysis!A577="","",Analysis!BG577)</f>
        <v/>
      </c>
      <c r="F665" s="33" t="str">
        <f>IF(Analysis!A577="","",Analysis!AN577)</f>
        <v/>
      </c>
      <c r="G665" s="33" t="str">
        <f>IF(Analysis!A577="","",Analysis!BA577)</f>
        <v/>
      </c>
      <c r="H665" s="34" t="str">
        <f>IF(Analysis!A577="","",Analysis!BJ577)</f>
        <v/>
      </c>
      <c r="I665" s="33" t="str">
        <f>IF(Analysis!A577="","",Analysis!BK577)</f>
        <v/>
      </c>
    </row>
    <row r="666" spans="1:9" ht="14.25" customHeight="1" x14ac:dyDescent="0.25">
      <c r="A666" s="32" t="str">
        <f>IF(Analysis!A578="","",Analysis!A578)</f>
        <v/>
      </c>
      <c r="B666" s="33" t="str">
        <f>IF(Analysis!A578="","",Analysis!B578)</f>
        <v/>
      </c>
      <c r="C666" s="33" t="str">
        <f>IF(Analysis!A578="","",Analysis!C578)</f>
        <v/>
      </c>
      <c r="D666" s="33" t="str">
        <f>IF(Analysis!A578="","",Analysis!F578)</f>
        <v/>
      </c>
      <c r="E666" s="33" t="str">
        <f>IF(Analysis!A578="","",Analysis!BG578)</f>
        <v/>
      </c>
      <c r="F666" s="33" t="str">
        <f>IF(Analysis!A578="","",Analysis!AN578)</f>
        <v/>
      </c>
      <c r="G666" s="33" t="str">
        <f>IF(Analysis!A578="","",Analysis!BA578)</f>
        <v/>
      </c>
      <c r="H666" s="34" t="str">
        <f>IF(Analysis!A578="","",Analysis!BJ578)</f>
        <v/>
      </c>
      <c r="I666" s="33" t="str">
        <f>IF(Analysis!A578="","",Analysis!BK578)</f>
        <v/>
      </c>
    </row>
    <row r="667" spans="1:9" ht="14.25" customHeight="1" x14ac:dyDescent="0.25">
      <c r="A667" s="32" t="str">
        <f>IF(Analysis!A579="","",Analysis!A579)</f>
        <v/>
      </c>
      <c r="B667" s="33" t="str">
        <f>IF(Analysis!A579="","",Analysis!B579)</f>
        <v/>
      </c>
      <c r="C667" s="33" t="str">
        <f>IF(Analysis!A579="","",Analysis!C579)</f>
        <v/>
      </c>
      <c r="D667" s="33" t="str">
        <f>IF(Analysis!A579="","",Analysis!F579)</f>
        <v/>
      </c>
      <c r="E667" s="33" t="str">
        <f>IF(Analysis!A579="","",Analysis!BG579)</f>
        <v/>
      </c>
      <c r="F667" s="33" t="str">
        <f>IF(Analysis!A579="","",Analysis!AN579)</f>
        <v/>
      </c>
      <c r="G667" s="33" t="str">
        <f>IF(Analysis!A579="","",Analysis!BA579)</f>
        <v/>
      </c>
      <c r="H667" s="34" t="str">
        <f>IF(Analysis!A579="","",Analysis!BJ579)</f>
        <v/>
      </c>
      <c r="I667" s="33" t="str">
        <f>IF(Analysis!A579="","",Analysis!BK579)</f>
        <v/>
      </c>
    </row>
    <row r="668" spans="1:9" ht="14.25" customHeight="1" x14ac:dyDescent="0.25">
      <c r="A668" s="32" t="str">
        <f>IF(Analysis!A580="","",Analysis!A580)</f>
        <v/>
      </c>
      <c r="B668" s="33" t="str">
        <f>IF(Analysis!A580="","",Analysis!B580)</f>
        <v/>
      </c>
      <c r="C668" s="33" t="str">
        <f>IF(Analysis!A580="","",Analysis!C580)</f>
        <v/>
      </c>
      <c r="D668" s="33" t="str">
        <f>IF(Analysis!A580="","",Analysis!F580)</f>
        <v/>
      </c>
      <c r="E668" s="33" t="str">
        <f>IF(Analysis!A580="","",Analysis!BG580)</f>
        <v/>
      </c>
      <c r="F668" s="33" t="str">
        <f>IF(Analysis!A580="","",Analysis!AN580)</f>
        <v/>
      </c>
      <c r="G668" s="33" t="str">
        <f>IF(Analysis!A580="","",Analysis!BA580)</f>
        <v/>
      </c>
      <c r="H668" s="34" t="str">
        <f>IF(Analysis!A580="","",Analysis!BJ580)</f>
        <v/>
      </c>
      <c r="I668" s="33" t="str">
        <f>IF(Analysis!A580="","",Analysis!BK580)</f>
        <v/>
      </c>
    </row>
    <row r="669" spans="1:9" ht="14.25" customHeight="1" x14ac:dyDescent="0.25">
      <c r="A669" s="32" t="str">
        <f>IF(Analysis!A581="","",Analysis!A581)</f>
        <v/>
      </c>
      <c r="B669" s="33" t="str">
        <f>IF(Analysis!A581="","",Analysis!B581)</f>
        <v/>
      </c>
      <c r="C669" s="33" t="str">
        <f>IF(Analysis!A581="","",Analysis!C581)</f>
        <v/>
      </c>
      <c r="D669" s="33" t="str">
        <f>IF(Analysis!A581="","",Analysis!F581)</f>
        <v/>
      </c>
      <c r="E669" s="33" t="str">
        <f>IF(Analysis!A581="","",Analysis!BG581)</f>
        <v/>
      </c>
      <c r="F669" s="33" t="str">
        <f>IF(Analysis!A581="","",Analysis!AN581)</f>
        <v/>
      </c>
      <c r="G669" s="33" t="str">
        <f>IF(Analysis!A581="","",Analysis!BA581)</f>
        <v/>
      </c>
      <c r="H669" s="34" t="str">
        <f>IF(Analysis!A581="","",Analysis!BJ581)</f>
        <v/>
      </c>
      <c r="I669" s="33" t="str">
        <f>IF(Analysis!A581="","",Analysis!BK581)</f>
        <v/>
      </c>
    </row>
    <row r="670" spans="1:9" ht="14.25" customHeight="1" x14ac:dyDescent="0.25">
      <c r="A670" s="32" t="str">
        <f>IF(Analysis!A582="","",Analysis!A582)</f>
        <v/>
      </c>
      <c r="B670" s="33" t="str">
        <f>IF(Analysis!A582="","",Analysis!B582)</f>
        <v/>
      </c>
      <c r="C670" s="33" t="str">
        <f>IF(Analysis!A582="","",Analysis!C582)</f>
        <v/>
      </c>
      <c r="D670" s="33" t="str">
        <f>IF(Analysis!A582="","",Analysis!F582)</f>
        <v/>
      </c>
      <c r="E670" s="33" t="str">
        <f>IF(Analysis!A582="","",Analysis!BG582)</f>
        <v/>
      </c>
      <c r="F670" s="33" t="str">
        <f>IF(Analysis!A582="","",Analysis!AN582)</f>
        <v/>
      </c>
      <c r="G670" s="33" t="str">
        <f>IF(Analysis!A582="","",Analysis!BA582)</f>
        <v/>
      </c>
      <c r="H670" s="34" t="str">
        <f>IF(Analysis!A582="","",Analysis!BJ582)</f>
        <v/>
      </c>
      <c r="I670" s="33" t="str">
        <f>IF(Analysis!A582="","",Analysis!BK582)</f>
        <v/>
      </c>
    </row>
    <row r="671" spans="1:9" ht="14.25" customHeight="1" x14ac:dyDescent="0.25">
      <c r="A671" s="32" t="str">
        <f>IF(Analysis!A583="","",Analysis!A583)</f>
        <v/>
      </c>
      <c r="B671" s="33" t="str">
        <f>IF(Analysis!A583="","",Analysis!B583)</f>
        <v/>
      </c>
      <c r="C671" s="33" t="str">
        <f>IF(Analysis!A583="","",Analysis!C583)</f>
        <v/>
      </c>
      <c r="D671" s="33" t="str">
        <f>IF(Analysis!A583="","",Analysis!F583)</f>
        <v/>
      </c>
      <c r="E671" s="33" t="str">
        <f>IF(Analysis!A583="","",Analysis!BG583)</f>
        <v/>
      </c>
      <c r="F671" s="33" t="str">
        <f>IF(Analysis!A583="","",Analysis!AN583)</f>
        <v/>
      </c>
      <c r="G671" s="33" t="str">
        <f>IF(Analysis!A583="","",Analysis!BA583)</f>
        <v/>
      </c>
      <c r="H671" s="34" t="str">
        <f>IF(Analysis!A583="","",Analysis!BJ583)</f>
        <v/>
      </c>
      <c r="I671" s="33" t="str">
        <f>IF(Analysis!A583="","",Analysis!BK583)</f>
        <v/>
      </c>
    </row>
    <row r="672" spans="1:9" ht="14.25" customHeight="1" x14ac:dyDescent="0.25">
      <c r="A672" s="32" t="str">
        <f>IF(Analysis!A584="","",Analysis!A584)</f>
        <v/>
      </c>
      <c r="B672" s="33" t="str">
        <f>IF(Analysis!A584="","",Analysis!B584)</f>
        <v/>
      </c>
      <c r="C672" s="33" t="str">
        <f>IF(Analysis!A584="","",Analysis!C584)</f>
        <v/>
      </c>
      <c r="D672" s="33" t="str">
        <f>IF(Analysis!A584="","",Analysis!F584)</f>
        <v/>
      </c>
      <c r="E672" s="33" t="str">
        <f>IF(Analysis!A584="","",Analysis!BG584)</f>
        <v/>
      </c>
      <c r="F672" s="33" t="str">
        <f>IF(Analysis!A584="","",Analysis!AN584)</f>
        <v/>
      </c>
      <c r="G672" s="33" t="str">
        <f>IF(Analysis!A584="","",Analysis!BA584)</f>
        <v/>
      </c>
      <c r="H672" s="34" t="str">
        <f>IF(Analysis!A584="","",Analysis!BJ584)</f>
        <v/>
      </c>
      <c r="I672" s="33" t="str">
        <f>IF(Analysis!A584="","",Analysis!BK584)</f>
        <v/>
      </c>
    </row>
    <row r="673" spans="1:9" ht="14.25" customHeight="1" x14ac:dyDescent="0.25">
      <c r="A673" s="32" t="str">
        <f>IF(Analysis!A585="","",Analysis!A585)</f>
        <v/>
      </c>
      <c r="B673" s="33" t="str">
        <f>IF(Analysis!A585="","",Analysis!B585)</f>
        <v/>
      </c>
      <c r="C673" s="33" t="str">
        <f>IF(Analysis!A585="","",Analysis!C585)</f>
        <v/>
      </c>
      <c r="D673" s="33" t="str">
        <f>IF(Analysis!A585="","",Analysis!F585)</f>
        <v/>
      </c>
      <c r="E673" s="33" t="str">
        <f>IF(Analysis!A585="","",Analysis!BG585)</f>
        <v/>
      </c>
      <c r="F673" s="33" t="str">
        <f>IF(Analysis!A585="","",Analysis!AN585)</f>
        <v/>
      </c>
      <c r="G673" s="33" t="str">
        <f>IF(Analysis!A585="","",Analysis!BA585)</f>
        <v/>
      </c>
      <c r="H673" s="34" t="str">
        <f>IF(Analysis!A585="","",Analysis!BJ585)</f>
        <v/>
      </c>
      <c r="I673" s="33" t="str">
        <f>IF(Analysis!A585="","",Analysis!BK585)</f>
        <v/>
      </c>
    </row>
    <row r="674" spans="1:9" ht="14.25" customHeight="1" x14ac:dyDescent="0.25">
      <c r="A674" s="32" t="str">
        <f>IF(Analysis!A586="","",Analysis!A586)</f>
        <v/>
      </c>
      <c r="B674" s="33" t="str">
        <f>IF(Analysis!A586="","",Analysis!B586)</f>
        <v/>
      </c>
      <c r="C674" s="33" t="str">
        <f>IF(Analysis!A586="","",Analysis!C586)</f>
        <v/>
      </c>
      <c r="D674" s="33" t="str">
        <f>IF(Analysis!A586="","",Analysis!F586)</f>
        <v/>
      </c>
      <c r="E674" s="33" t="str">
        <f>IF(Analysis!A586="","",Analysis!BG586)</f>
        <v/>
      </c>
      <c r="F674" s="33" t="str">
        <f>IF(Analysis!A586="","",Analysis!AN586)</f>
        <v/>
      </c>
      <c r="G674" s="33" t="str">
        <f>IF(Analysis!A586="","",Analysis!BA586)</f>
        <v/>
      </c>
      <c r="H674" s="34" t="str">
        <f>IF(Analysis!A586="","",Analysis!BJ586)</f>
        <v/>
      </c>
      <c r="I674" s="33" t="str">
        <f>IF(Analysis!A586="","",Analysis!BK586)</f>
        <v/>
      </c>
    </row>
    <row r="675" spans="1:9" ht="14.25" customHeight="1" x14ac:dyDescent="0.25">
      <c r="A675" s="32" t="str">
        <f>IF(Analysis!A587="","",Analysis!A587)</f>
        <v/>
      </c>
      <c r="B675" s="33" t="str">
        <f>IF(Analysis!A587="","",Analysis!B587)</f>
        <v/>
      </c>
      <c r="C675" s="33" t="str">
        <f>IF(Analysis!A587="","",Analysis!C587)</f>
        <v/>
      </c>
      <c r="D675" s="33" t="str">
        <f>IF(Analysis!A587="","",Analysis!F587)</f>
        <v/>
      </c>
      <c r="E675" s="33" t="str">
        <f>IF(Analysis!A587="","",Analysis!BG587)</f>
        <v/>
      </c>
      <c r="F675" s="33" t="str">
        <f>IF(Analysis!A587="","",Analysis!AN587)</f>
        <v/>
      </c>
      <c r="G675" s="33" t="str">
        <f>IF(Analysis!A587="","",Analysis!BA587)</f>
        <v/>
      </c>
      <c r="H675" s="34" t="str">
        <f>IF(Analysis!A587="","",Analysis!BJ587)</f>
        <v/>
      </c>
      <c r="I675" s="33" t="str">
        <f>IF(Analysis!A587="","",Analysis!BK587)</f>
        <v/>
      </c>
    </row>
    <row r="676" spans="1:9" ht="14.25" customHeight="1" x14ac:dyDescent="0.25">
      <c r="A676" s="32" t="str">
        <f>IF(Analysis!A588="","",Analysis!A588)</f>
        <v/>
      </c>
      <c r="B676" s="33" t="str">
        <f>IF(Analysis!A588="","",Analysis!B588)</f>
        <v/>
      </c>
      <c r="C676" s="33" t="str">
        <f>IF(Analysis!A588="","",Analysis!C588)</f>
        <v/>
      </c>
      <c r="D676" s="33" t="str">
        <f>IF(Analysis!A588="","",Analysis!F588)</f>
        <v/>
      </c>
      <c r="E676" s="33" t="str">
        <f>IF(Analysis!A588="","",Analysis!BG588)</f>
        <v/>
      </c>
      <c r="F676" s="33" t="str">
        <f>IF(Analysis!A588="","",Analysis!AN588)</f>
        <v/>
      </c>
      <c r="G676" s="33" t="str">
        <f>IF(Analysis!A588="","",Analysis!BA588)</f>
        <v/>
      </c>
      <c r="H676" s="34" t="str">
        <f>IF(Analysis!A588="","",Analysis!BJ588)</f>
        <v/>
      </c>
      <c r="I676" s="33" t="str">
        <f>IF(Analysis!A588="","",Analysis!BK588)</f>
        <v/>
      </c>
    </row>
    <row r="677" spans="1:9" ht="14.25" customHeight="1" x14ac:dyDescent="0.25">
      <c r="A677" s="32" t="str">
        <f>IF(Analysis!A589="","",Analysis!A589)</f>
        <v/>
      </c>
      <c r="B677" s="33" t="str">
        <f>IF(Analysis!A589="","",Analysis!B589)</f>
        <v/>
      </c>
      <c r="C677" s="33" t="str">
        <f>IF(Analysis!A589="","",Analysis!C589)</f>
        <v/>
      </c>
      <c r="D677" s="33" t="str">
        <f>IF(Analysis!A589="","",Analysis!F589)</f>
        <v/>
      </c>
      <c r="E677" s="33" t="str">
        <f>IF(Analysis!A589="","",Analysis!BG589)</f>
        <v/>
      </c>
      <c r="F677" s="33" t="str">
        <f>IF(Analysis!A589="","",Analysis!AN589)</f>
        <v/>
      </c>
      <c r="G677" s="33" t="str">
        <f>IF(Analysis!A589="","",Analysis!BA589)</f>
        <v/>
      </c>
      <c r="H677" s="34" t="str">
        <f>IF(Analysis!A589="","",Analysis!BJ589)</f>
        <v/>
      </c>
      <c r="I677" s="33" t="str">
        <f>IF(Analysis!A589="","",Analysis!BK589)</f>
        <v/>
      </c>
    </row>
    <row r="678" spans="1:9" ht="14.25" customHeight="1" x14ac:dyDescent="0.25">
      <c r="A678" s="32" t="str">
        <f>IF(Analysis!A590="","",Analysis!A590)</f>
        <v/>
      </c>
      <c r="B678" s="33" t="str">
        <f>IF(Analysis!A590="","",Analysis!B590)</f>
        <v/>
      </c>
      <c r="C678" s="33" t="str">
        <f>IF(Analysis!A590="","",Analysis!C590)</f>
        <v/>
      </c>
      <c r="D678" s="33" t="str">
        <f>IF(Analysis!A590="","",Analysis!F590)</f>
        <v/>
      </c>
      <c r="E678" s="33" t="str">
        <f>IF(Analysis!A590="","",Analysis!BG590)</f>
        <v/>
      </c>
      <c r="F678" s="33" t="str">
        <f>IF(Analysis!A590="","",Analysis!AN590)</f>
        <v/>
      </c>
      <c r="G678" s="33" t="str">
        <f>IF(Analysis!A590="","",Analysis!BA590)</f>
        <v/>
      </c>
      <c r="H678" s="34" t="str">
        <f>IF(Analysis!A590="","",Analysis!BJ590)</f>
        <v/>
      </c>
      <c r="I678" s="33" t="str">
        <f>IF(Analysis!A590="","",Analysis!BK590)</f>
        <v/>
      </c>
    </row>
    <row r="679" spans="1:9" ht="14.25" customHeight="1" x14ac:dyDescent="0.25">
      <c r="A679" s="32" t="str">
        <f>IF(Analysis!A591="","",Analysis!A591)</f>
        <v/>
      </c>
      <c r="B679" s="33" t="str">
        <f>IF(Analysis!A591="","",Analysis!B591)</f>
        <v/>
      </c>
      <c r="C679" s="33" t="str">
        <f>IF(Analysis!A591="","",Analysis!C591)</f>
        <v/>
      </c>
      <c r="D679" s="33" t="str">
        <f>IF(Analysis!A591="","",Analysis!F591)</f>
        <v/>
      </c>
      <c r="E679" s="33" t="str">
        <f>IF(Analysis!A591="","",Analysis!BG591)</f>
        <v/>
      </c>
      <c r="F679" s="33" t="str">
        <f>IF(Analysis!A591="","",Analysis!AN591)</f>
        <v/>
      </c>
      <c r="G679" s="33" t="str">
        <f>IF(Analysis!A591="","",Analysis!BA591)</f>
        <v/>
      </c>
      <c r="H679" s="34" t="str">
        <f>IF(Analysis!A591="","",Analysis!BJ591)</f>
        <v/>
      </c>
      <c r="I679" s="33" t="str">
        <f>IF(Analysis!A591="","",Analysis!BK591)</f>
        <v/>
      </c>
    </row>
    <row r="680" spans="1:9" ht="14.25" customHeight="1" x14ac:dyDescent="0.25">
      <c r="A680" s="32" t="str">
        <f>IF(Analysis!A592="","",Analysis!A592)</f>
        <v/>
      </c>
      <c r="B680" s="33" t="str">
        <f>IF(Analysis!A592="","",Analysis!B592)</f>
        <v/>
      </c>
      <c r="C680" s="33" t="str">
        <f>IF(Analysis!A592="","",Analysis!C592)</f>
        <v/>
      </c>
      <c r="D680" s="33" t="str">
        <f>IF(Analysis!A592="","",Analysis!F592)</f>
        <v/>
      </c>
      <c r="E680" s="33" t="str">
        <f>IF(Analysis!A592="","",Analysis!BG592)</f>
        <v/>
      </c>
      <c r="F680" s="33" t="str">
        <f>IF(Analysis!A592="","",Analysis!AN592)</f>
        <v/>
      </c>
      <c r="G680" s="33" t="str">
        <f>IF(Analysis!A592="","",Analysis!BA592)</f>
        <v/>
      </c>
      <c r="H680" s="34" t="str">
        <f>IF(Analysis!A592="","",Analysis!BJ592)</f>
        <v/>
      </c>
      <c r="I680" s="33" t="str">
        <f>IF(Analysis!A592="","",Analysis!BK592)</f>
        <v/>
      </c>
    </row>
    <row r="681" spans="1:9" ht="14.25" customHeight="1" x14ac:dyDescent="0.25">
      <c r="A681" s="32" t="str">
        <f>IF(Analysis!A593="","",Analysis!A593)</f>
        <v/>
      </c>
      <c r="B681" s="33" t="str">
        <f>IF(Analysis!A593="","",Analysis!B593)</f>
        <v/>
      </c>
      <c r="C681" s="33" t="str">
        <f>IF(Analysis!A593="","",Analysis!C593)</f>
        <v/>
      </c>
      <c r="D681" s="33" t="str">
        <f>IF(Analysis!A593="","",Analysis!F593)</f>
        <v/>
      </c>
      <c r="E681" s="33" t="str">
        <f>IF(Analysis!A593="","",Analysis!BG593)</f>
        <v/>
      </c>
      <c r="F681" s="33" t="str">
        <f>IF(Analysis!A593="","",Analysis!AN593)</f>
        <v/>
      </c>
      <c r="G681" s="33" t="str">
        <f>IF(Analysis!A593="","",Analysis!BA593)</f>
        <v/>
      </c>
      <c r="H681" s="34" t="str">
        <f>IF(Analysis!A593="","",Analysis!BJ593)</f>
        <v/>
      </c>
      <c r="I681" s="33" t="str">
        <f>IF(Analysis!A593="","",Analysis!BK593)</f>
        <v/>
      </c>
    </row>
    <row r="682" spans="1:9" ht="14.25" customHeight="1" x14ac:dyDescent="0.25">
      <c r="A682" s="32" t="str">
        <f>IF(Analysis!A594="","",Analysis!A594)</f>
        <v/>
      </c>
      <c r="B682" s="33" t="str">
        <f>IF(Analysis!A594="","",Analysis!B594)</f>
        <v/>
      </c>
      <c r="C682" s="33" t="str">
        <f>IF(Analysis!A594="","",Analysis!C594)</f>
        <v/>
      </c>
      <c r="D682" s="33" t="str">
        <f>IF(Analysis!A594="","",Analysis!F594)</f>
        <v/>
      </c>
      <c r="E682" s="33" t="str">
        <f>IF(Analysis!A594="","",Analysis!BG594)</f>
        <v/>
      </c>
      <c r="F682" s="33" t="str">
        <f>IF(Analysis!A594="","",Analysis!AN594)</f>
        <v/>
      </c>
      <c r="G682" s="33" t="str">
        <f>IF(Analysis!A594="","",Analysis!BA594)</f>
        <v/>
      </c>
      <c r="H682" s="34" t="str">
        <f>IF(Analysis!A594="","",Analysis!BJ594)</f>
        <v/>
      </c>
      <c r="I682" s="33" t="str">
        <f>IF(Analysis!A594="","",Analysis!BK594)</f>
        <v/>
      </c>
    </row>
    <row r="683" spans="1:9" ht="14.25" customHeight="1" x14ac:dyDescent="0.25">
      <c r="A683" s="32" t="str">
        <f>IF(Analysis!A595="","",Analysis!A595)</f>
        <v/>
      </c>
      <c r="B683" s="33" t="str">
        <f>IF(Analysis!A595="","",Analysis!B595)</f>
        <v/>
      </c>
      <c r="C683" s="33" t="str">
        <f>IF(Analysis!A595="","",Analysis!C595)</f>
        <v/>
      </c>
      <c r="D683" s="33" t="str">
        <f>IF(Analysis!A595="","",Analysis!F595)</f>
        <v/>
      </c>
      <c r="E683" s="33" t="str">
        <f>IF(Analysis!A595="","",Analysis!BG595)</f>
        <v/>
      </c>
      <c r="F683" s="33" t="str">
        <f>IF(Analysis!A595="","",Analysis!AN595)</f>
        <v/>
      </c>
      <c r="G683" s="33" t="str">
        <f>IF(Analysis!A595="","",Analysis!BA595)</f>
        <v/>
      </c>
      <c r="H683" s="34" t="str">
        <f>IF(Analysis!A595="","",Analysis!BJ595)</f>
        <v/>
      </c>
      <c r="I683" s="33" t="str">
        <f>IF(Analysis!A595="","",Analysis!BK595)</f>
        <v/>
      </c>
    </row>
    <row r="684" spans="1:9" ht="14.25" customHeight="1" x14ac:dyDescent="0.25">
      <c r="A684" s="32" t="str">
        <f>IF(Analysis!A596="","",Analysis!A596)</f>
        <v/>
      </c>
      <c r="B684" s="33" t="str">
        <f>IF(Analysis!A596="","",Analysis!B596)</f>
        <v/>
      </c>
      <c r="C684" s="33" t="str">
        <f>IF(Analysis!A596="","",Analysis!C596)</f>
        <v/>
      </c>
      <c r="D684" s="33" t="str">
        <f>IF(Analysis!A596="","",Analysis!F596)</f>
        <v/>
      </c>
      <c r="E684" s="33" t="str">
        <f>IF(Analysis!A596="","",Analysis!BG596)</f>
        <v/>
      </c>
      <c r="F684" s="33" t="str">
        <f>IF(Analysis!A596="","",Analysis!AN596)</f>
        <v/>
      </c>
      <c r="G684" s="33" t="str">
        <f>IF(Analysis!A596="","",Analysis!BA596)</f>
        <v/>
      </c>
      <c r="H684" s="34" t="str">
        <f>IF(Analysis!A596="","",Analysis!BJ596)</f>
        <v/>
      </c>
      <c r="I684" s="33" t="str">
        <f>IF(Analysis!A596="","",Analysis!BK596)</f>
        <v/>
      </c>
    </row>
    <row r="685" spans="1:9" ht="14.25" customHeight="1" x14ac:dyDescent="0.25">
      <c r="A685" s="32" t="str">
        <f>IF(Analysis!A597="","",Analysis!A597)</f>
        <v/>
      </c>
      <c r="B685" s="33" t="str">
        <f>IF(Analysis!A597="","",Analysis!B597)</f>
        <v/>
      </c>
      <c r="C685" s="33" t="str">
        <f>IF(Analysis!A597="","",Analysis!C597)</f>
        <v/>
      </c>
      <c r="D685" s="33" t="str">
        <f>IF(Analysis!A597="","",Analysis!F597)</f>
        <v/>
      </c>
      <c r="E685" s="33" t="str">
        <f>IF(Analysis!A597="","",Analysis!BG597)</f>
        <v/>
      </c>
      <c r="F685" s="33" t="str">
        <f>IF(Analysis!A597="","",Analysis!AN597)</f>
        <v/>
      </c>
      <c r="G685" s="33" t="str">
        <f>IF(Analysis!A597="","",Analysis!BA597)</f>
        <v/>
      </c>
      <c r="H685" s="34" t="str">
        <f>IF(Analysis!A597="","",Analysis!BJ597)</f>
        <v/>
      </c>
      <c r="I685" s="33" t="str">
        <f>IF(Analysis!A597="","",Analysis!BK597)</f>
        <v/>
      </c>
    </row>
    <row r="686" spans="1:9" ht="14.25" customHeight="1" x14ac:dyDescent="0.25">
      <c r="A686" s="32" t="str">
        <f>IF(Analysis!A598="","",Analysis!A598)</f>
        <v/>
      </c>
      <c r="B686" s="33" t="str">
        <f>IF(Analysis!A598="","",Analysis!B598)</f>
        <v/>
      </c>
      <c r="C686" s="33" t="str">
        <f>IF(Analysis!A598="","",Analysis!C598)</f>
        <v/>
      </c>
      <c r="D686" s="33" t="str">
        <f>IF(Analysis!A598="","",Analysis!F598)</f>
        <v/>
      </c>
      <c r="E686" s="33" t="str">
        <f>IF(Analysis!A598="","",Analysis!BG598)</f>
        <v/>
      </c>
      <c r="F686" s="33" t="str">
        <f>IF(Analysis!A598="","",Analysis!AN598)</f>
        <v/>
      </c>
      <c r="G686" s="33" t="str">
        <f>IF(Analysis!A598="","",Analysis!BA598)</f>
        <v/>
      </c>
      <c r="H686" s="34" t="str">
        <f>IF(Analysis!A598="","",Analysis!BJ598)</f>
        <v/>
      </c>
      <c r="I686" s="33" t="str">
        <f>IF(Analysis!A598="","",Analysis!BK598)</f>
        <v/>
      </c>
    </row>
    <row r="687" spans="1:9" ht="14.25" customHeight="1" x14ac:dyDescent="0.25">
      <c r="A687" s="32" t="str">
        <f>IF(Analysis!A599="","",Analysis!A599)</f>
        <v/>
      </c>
      <c r="B687" s="33" t="str">
        <f>IF(Analysis!A599="","",Analysis!B599)</f>
        <v/>
      </c>
      <c r="C687" s="33" t="str">
        <f>IF(Analysis!A599="","",Analysis!C599)</f>
        <v/>
      </c>
      <c r="D687" s="33" t="str">
        <f>IF(Analysis!A599="","",Analysis!F599)</f>
        <v/>
      </c>
      <c r="E687" s="33" t="str">
        <f>IF(Analysis!A599="","",Analysis!BG599)</f>
        <v/>
      </c>
      <c r="F687" s="33" t="str">
        <f>IF(Analysis!A599="","",Analysis!AN599)</f>
        <v/>
      </c>
      <c r="G687" s="33" t="str">
        <f>IF(Analysis!A599="","",Analysis!BA599)</f>
        <v/>
      </c>
      <c r="H687" s="34" t="str">
        <f>IF(Analysis!A599="","",Analysis!BJ599)</f>
        <v/>
      </c>
      <c r="I687" s="33" t="str">
        <f>IF(Analysis!A599="","",Analysis!BK599)</f>
        <v/>
      </c>
    </row>
    <row r="688" spans="1:9" ht="14.25" customHeight="1" x14ac:dyDescent="0.25">
      <c r="A688" s="32" t="str">
        <f>IF(Analysis!A600="","",Analysis!A600)</f>
        <v/>
      </c>
      <c r="B688" s="33" t="str">
        <f>IF(Analysis!A600="","",Analysis!B600)</f>
        <v/>
      </c>
      <c r="C688" s="33" t="str">
        <f>IF(Analysis!A600="","",Analysis!C600)</f>
        <v/>
      </c>
      <c r="D688" s="33" t="str">
        <f>IF(Analysis!A600="","",Analysis!F600)</f>
        <v/>
      </c>
      <c r="E688" s="33" t="str">
        <f>IF(Analysis!A600="","",Analysis!BG600)</f>
        <v/>
      </c>
      <c r="F688" s="33" t="str">
        <f>IF(Analysis!A600="","",Analysis!AN600)</f>
        <v/>
      </c>
      <c r="G688" s="33" t="str">
        <f>IF(Analysis!A600="","",Analysis!BA600)</f>
        <v/>
      </c>
      <c r="H688" s="34" t="str">
        <f>IF(Analysis!A600="","",Analysis!BJ600)</f>
        <v/>
      </c>
      <c r="I688" s="33" t="str">
        <f>IF(Analysis!A600="","",Analysis!BK600)</f>
        <v/>
      </c>
    </row>
    <row r="689" spans="1:9" ht="14.25" customHeight="1" x14ac:dyDescent="0.25">
      <c r="A689" s="32" t="str">
        <f>IF(Analysis!A601="","",Analysis!A601)</f>
        <v/>
      </c>
      <c r="B689" s="33" t="str">
        <f>IF(Analysis!A601="","",Analysis!B601)</f>
        <v/>
      </c>
      <c r="C689" s="33" t="str">
        <f>IF(Analysis!A601="","",Analysis!C601)</f>
        <v/>
      </c>
      <c r="D689" s="33" t="str">
        <f>IF(Analysis!A601="","",Analysis!F601)</f>
        <v/>
      </c>
      <c r="E689" s="33" t="str">
        <f>IF(Analysis!A601="","",Analysis!BG601)</f>
        <v/>
      </c>
      <c r="F689" s="33" t="str">
        <f>IF(Analysis!A601="","",Analysis!AN601)</f>
        <v/>
      </c>
      <c r="G689" s="33" t="str">
        <f>IF(Analysis!A601="","",Analysis!BA601)</f>
        <v/>
      </c>
      <c r="H689" s="34" t="str">
        <f>IF(Analysis!A601="","",Analysis!BJ601)</f>
        <v/>
      </c>
      <c r="I689" s="33" t="str">
        <f>IF(Analysis!A601="","",Analysis!BK601)</f>
        <v/>
      </c>
    </row>
    <row r="690" spans="1:9" ht="14.25" customHeight="1" x14ac:dyDescent="0.25">
      <c r="A690" s="32" t="str">
        <f>IF(Analysis!A602="","",Analysis!A602)</f>
        <v/>
      </c>
      <c r="B690" s="33" t="str">
        <f>IF(Analysis!A602="","",Analysis!B602)</f>
        <v/>
      </c>
      <c r="C690" s="33" t="str">
        <f>IF(Analysis!A602="","",Analysis!C602)</f>
        <v/>
      </c>
      <c r="D690" s="33" t="str">
        <f>IF(Analysis!A602="","",Analysis!F602)</f>
        <v/>
      </c>
      <c r="E690" s="33" t="str">
        <f>IF(Analysis!A602="","",Analysis!BG602)</f>
        <v/>
      </c>
      <c r="F690" s="33" t="str">
        <f>IF(Analysis!A602="","",Analysis!AN602)</f>
        <v/>
      </c>
      <c r="G690" s="33" t="str">
        <f>IF(Analysis!A602="","",Analysis!BA602)</f>
        <v/>
      </c>
      <c r="H690" s="34" t="str">
        <f>IF(Analysis!A602="","",Analysis!BJ602)</f>
        <v/>
      </c>
      <c r="I690" s="33" t="str">
        <f>IF(Analysis!A602="","",Analysis!BK602)</f>
        <v/>
      </c>
    </row>
    <row r="691" spans="1:9" ht="14.25" customHeight="1" x14ac:dyDescent="0.25">
      <c r="A691" s="32" t="str">
        <f>IF(Analysis!A603="","",Analysis!A603)</f>
        <v/>
      </c>
      <c r="B691" s="33" t="str">
        <f>IF(Analysis!A603="","",Analysis!B603)</f>
        <v/>
      </c>
      <c r="C691" s="33" t="str">
        <f>IF(Analysis!A603="","",Analysis!C603)</f>
        <v/>
      </c>
      <c r="D691" s="33" t="str">
        <f>IF(Analysis!A603="","",Analysis!F603)</f>
        <v/>
      </c>
      <c r="E691" s="33" t="str">
        <f>IF(Analysis!A603="","",Analysis!BG603)</f>
        <v/>
      </c>
      <c r="F691" s="33" t="str">
        <f>IF(Analysis!A603="","",Analysis!AN603)</f>
        <v/>
      </c>
      <c r="G691" s="33" t="str">
        <f>IF(Analysis!A603="","",Analysis!BA603)</f>
        <v/>
      </c>
      <c r="H691" s="34" t="str">
        <f>IF(Analysis!A603="","",Analysis!BJ603)</f>
        <v/>
      </c>
      <c r="I691" s="33" t="str">
        <f>IF(Analysis!A603="","",Analysis!BK603)</f>
        <v/>
      </c>
    </row>
  </sheetData>
  <autoFilter ref="A91:I691" xr:uid="{00000000-0009-0000-0000-000000000000}"/>
  <mergeCells count="28">
    <mergeCell ref="B79:C79"/>
    <mergeCell ref="D79:E79"/>
    <mergeCell ref="A82:F82"/>
    <mergeCell ref="A83:F83"/>
    <mergeCell ref="A90:H90"/>
    <mergeCell ref="A64:F64"/>
    <mergeCell ref="A65:F65"/>
    <mergeCell ref="A70:F70"/>
    <mergeCell ref="A75:F75"/>
    <mergeCell ref="A76:A77"/>
    <mergeCell ref="B76:C76"/>
    <mergeCell ref="D76:E76"/>
    <mergeCell ref="F76:F77"/>
    <mergeCell ref="B44:C44"/>
    <mergeCell ref="B48:C48"/>
    <mergeCell ref="B49:C49"/>
    <mergeCell ref="A52:F52"/>
    <mergeCell ref="A59:F59"/>
    <mergeCell ref="A22:F22"/>
    <mergeCell ref="A29:F29"/>
    <mergeCell ref="A36:F36"/>
    <mergeCell ref="A37:F37"/>
    <mergeCell ref="B43:C43"/>
    <mergeCell ref="A1:F1"/>
    <mergeCell ref="D4:H4"/>
    <mergeCell ref="A6:F6"/>
    <mergeCell ref="A7:F7"/>
    <mergeCell ref="A17:F17"/>
  </mergeCells>
  <conditionalFormatting sqref="A1:K37 A38:E38 G38:K38">
    <cfRule type="cellIs" dxfId="12" priority="3" operator="equal">
      <formula>"CLIENT INPUT REQUIRED"</formula>
    </cfRule>
  </conditionalFormatting>
  <conditionalFormatting sqref="A39:K691">
    <cfRule type="cellIs" dxfId="11" priority="2" operator="equal">
      <formula>"CLIENT INPUT REQUIRED"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603"/>
  <sheetViews>
    <sheetView tabSelected="1" zoomScale="85" zoomScaleNormal="85" workbookViewId="0">
      <pane xSplit="1" ySplit="3" topLeftCell="G17" activePane="bottomRight" state="frozen"/>
      <selection pane="topRight" activeCell="B1" sqref="B1"/>
      <selection pane="bottomLeft" activeCell="A4" sqref="A4"/>
      <selection pane="bottomRight" activeCell="P4" sqref="P4"/>
    </sheetView>
  </sheetViews>
  <sheetFormatPr defaultColWidth="27.85546875" defaultRowHeight="15" x14ac:dyDescent="0.25"/>
  <cols>
    <col min="11" max="11" width="27.85546875" style="62"/>
    <col min="59" max="63" width="0" hidden="1" customWidth="1"/>
  </cols>
  <sheetData>
    <row r="1" spans="1:63" ht="35.65" customHeight="1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58"/>
      <c r="L1" s="42" t="s">
        <v>574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66" t="s">
        <v>575</v>
      </c>
      <c r="AH1" s="66"/>
      <c r="AI1" s="66"/>
      <c r="AJ1" s="66"/>
      <c r="AK1" s="66"/>
      <c r="AL1" s="66"/>
      <c r="AM1" s="43" t="s">
        <v>81</v>
      </c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</row>
    <row r="2" spans="1:63" s="48" customFormat="1" ht="61.3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59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6"/>
      <c r="AH2" s="46"/>
      <c r="AI2" s="46"/>
      <c r="AJ2" s="46"/>
      <c r="AK2" s="46"/>
      <c r="AL2" s="46"/>
      <c r="AM2" s="47" t="s">
        <v>82</v>
      </c>
      <c r="AN2" s="47" t="s">
        <v>83</v>
      </c>
      <c r="AO2" s="47" t="s">
        <v>84</v>
      </c>
      <c r="AP2" s="47" t="s">
        <v>85</v>
      </c>
      <c r="AQ2" s="47" t="s">
        <v>86</v>
      </c>
      <c r="AR2" s="47" t="s">
        <v>87</v>
      </c>
      <c r="AS2" s="47" t="s">
        <v>88</v>
      </c>
      <c r="AT2" s="47" t="s">
        <v>89</v>
      </c>
      <c r="AU2" s="47" t="s">
        <v>90</v>
      </c>
      <c r="AV2" s="47" t="s">
        <v>91</v>
      </c>
      <c r="AW2" s="47" t="s">
        <v>92</v>
      </c>
      <c r="AX2" s="47" t="s">
        <v>93</v>
      </c>
      <c r="AY2" s="47" t="s">
        <v>94</v>
      </c>
      <c r="AZ2" s="47" t="s">
        <v>95</v>
      </c>
      <c r="BA2" s="47" t="s">
        <v>96</v>
      </c>
      <c r="BB2" s="47" t="s">
        <v>97</v>
      </c>
      <c r="BC2" s="47" t="s">
        <v>98</v>
      </c>
      <c r="BD2" s="47" t="s">
        <v>99</v>
      </c>
      <c r="BE2" s="47" t="s">
        <v>100</v>
      </c>
      <c r="BF2" s="47" t="s">
        <v>101</v>
      </c>
    </row>
    <row r="3" spans="1:63" ht="49.9" customHeight="1" x14ac:dyDescent="0.25">
      <c r="A3" s="36" t="s">
        <v>102</v>
      </c>
      <c r="B3" s="36" t="s">
        <v>103</v>
      </c>
      <c r="C3" s="36" t="s">
        <v>104</v>
      </c>
      <c r="D3" s="36" t="s">
        <v>105</v>
      </c>
      <c r="E3" s="36" t="s">
        <v>106</v>
      </c>
      <c r="F3" s="36" t="s">
        <v>75</v>
      </c>
      <c r="G3" s="36" t="s">
        <v>107</v>
      </c>
      <c r="H3" s="36" t="s">
        <v>108</v>
      </c>
      <c r="I3" s="36" t="s">
        <v>109</v>
      </c>
      <c r="J3" s="36" t="s">
        <v>110</v>
      </c>
      <c r="K3" s="60" t="s">
        <v>111</v>
      </c>
      <c r="L3" s="36" t="s">
        <v>112</v>
      </c>
      <c r="M3" s="36" t="s">
        <v>113</v>
      </c>
      <c r="N3" s="36" t="s">
        <v>114</v>
      </c>
      <c r="O3" s="36" t="s">
        <v>115</v>
      </c>
      <c r="P3" s="36" t="s">
        <v>116</v>
      </c>
      <c r="Q3" s="36" t="s">
        <v>117</v>
      </c>
      <c r="R3" s="36" t="s">
        <v>118</v>
      </c>
      <c r="S3" s="36" t="s">
        <v>119</v>
      </c>
      <c r="T3" s="36" t="s">
        <v>120</v>
      </c>
      <c r="U3" s="36" t="s">
        <v>121</v>
      </c>
      <c r="V3" s="36" t="s">
        <v>122</v>
      </c>
      <c r="W3" s="36" t="s">
        <v>123</v>
      </c>
      <c r="X3" s="36" t="s">
        <v>124</v>
      </c>
      <c r="Y3" s="36" t="s">
        <v>125</v>
      </c>
      <c r="Z3" s="36" t="s">
        <v>126</v>
      </c>
      <c r="AA3" s="36" t="s">
        <v>127</v>
      </c>
      <c r="AB3" s="36" t="s">
        <v>128</v>
      </c>
      <c r="AC3" s="36" t="s">
        <v>129</v>
      </c>
      <c r="AD3" s="36" t="s">
        <v>130</v>
      </c>
      <c r="AE3" s="36" t="s">
        <v>131</v>
      </c>
      <c r="AF3" s="36" t="s">
        <v>132</v>
      </c>
      <c r="AG3" s="36" t="s">
        <v>133</v>
      </c>
      <c r="AH3" s="36" t="s">
        <v>134</v>
      </c>
      <c r="AI3" s="36" t="s">
        <v>135</v>
      </c>
      <c r="AJ3" s="36" t="s">
        <v>136</v>
      </c>
      <c r="AK3" s="36" t="s">
        <v>137</v>
      </c>
      <c r="AL3" s="36" t="s">
        <v>138</v>
      </c>
      <c r="AM3" s="36" t="s">
        <v>139</v>
      </c>
      <c r="AN3" s="36" t="s">
        <v>140</v>
      </c>
      <c r="AO3" s="36" t="s">
        <v>141</v>
      </c>
      <c r="AP3" s="36" t="s">
        <v>142</v>
      </c>
      <c r="AQ3" s="36" t="s">
        <v>143</v>
      </c>
      <c r="AR3" s="36" t="s">
        <v>144</v>
      </c>
      <c r="AS3" s="36" t="s">
        <v>145</v>
      </c>
      <c r="AT3" s="36" t="s">
        <v>146</v>
      </c>
      <c r="AU3" s="36" t="s">
        <v>147</v>
      </c>
      <c r="AV3" s="36" t="s">
        <v>148</v>
      </c>
      <c r="AW3" s="36" t="s">
        <v>149</v>
      </c>
      <c r="AX3" s="36" t="s">
        <v>150</v>
      </c>
      <c r="AY3" s="36" t="s">
        <v>151</v>
      </c>
      <c r="AZ3" s="36" t="s">
        <v>152</v>
      </c>
      <c r="BA3" s="36" t="s">
        <v>78</v>
      </c>
      <c r="BB3" s="36" t="s">
        <v>153</v>
      </c>
      <c r="BC3" s="36" t="s">
        <v>154</v>
      </c>
      <c r="BD3" s="36" t="s">
        <v>155</v>
      </c>
      <c r="BE3" s="36" t="s">
        <v>156</v>
      </c>
      <c r="BF3" s="36" t="s">
        <v>157</v>
      </c>
      <c r="BG3" s="36" t="s">
        <v>158</v>
      </c>
      <c r="BH3" s="36" t="s">
        <v>159</v>
      </c>
      <c r="BI3" s="36" t="s">
        <v>160</v>
      </c>
      <c r="BJ3" s="36" t="s">
        <v>161</v>
      </c>
      <c r="BK3" s="36" t="s">
        <v>162</v>
      </c>
    </row>
    <row r="4" spans="1:63" ht="27" customHeight="1" x14ac:dyDescent="0.25">
      <c r="A4" s="38">
        <v>1</v>
      </c>
      <c r="B4" s="38" t="s">
        <v>163</v>
      </c>
      <c r="C4" s="38" t="s">
        <v>164</v>
      </c>
      <c r="D4" s="38">
        <v>24.2456579875325</v>
      </c>
      <c r="E4" s="38">
        <v>55.574297758048402</v>
      </c>
      <c r="F4" s="38" t="s">
        <v>165</v>
      </c>
      <c r="G4" s="38" t="s">
        <v>166</v>
      </c>
      <c r="H4" s="38"/>
      <c r="I4" s="38" t="s">
        <v>167</v>
      </c>
      <c r="J4" s="38" t="s">
        <v>24</v>
      </c>
      <c r="K4" s="61" t="s">
        <v>168</v>
      </c>
      <c r="L4" s="38"/>
      <c r="M4" s="38"/>
      <c r="N4" s="38"/>
      <c r="O4" s="38"/>
      <c r="P4" s="38">
        <v>6</v>
      </c>
      <c r="Q4" s="38"/>
      <c r="R4" s="38"/>
      <c r="S4" s="38"/>
      <c r="T4" s="38"/>
      <c r="U4" s="38"/>
      <c r="V4" s="38"/>
      <c r="W4" s="38"/>
      <c r="X4" s="38"/>
      <c r="Y4" s="38"/>
      <c r="Z4" s="38">
        <v>30000</v>
      </c>
      <c r="AA4" s="38">
        <v>30</v>
      </c>
      <c r="AB4" s="38">
        <v>150000</v>
      </c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7" t="s">
        <v>167</v>
      </c>
      <c r="AN4" s="49" t="s">
        <v>576</v>
      </c>
      <c r="AO4" s="37" t="s">
        <v>576</v>
      </c>
      <c r="AP4" s="50" t="s">
        <v>577</v>
      </c>
      <c r="AQ4" s="37" t="s">
        <v>167</v>
      </c>
      <c r="AR4" s="37" t="s">
        <v>596</v>
      </c>
      <c r="AS4" s="51" t="s">
        <v>578</v>
      </c>
      <c r="AT4" s="51" t="s">
        <v>579</v>
      </c>
      <c r="AU4" s="51" t="s">
        <v>576</v>
      </c>
      <c r="AV4" s="51" t="s">
        <v>576</v>
      </c>
      <c r="AW4" s="37" t="s">
        <v>597</v>
      </c>
      <c r="AX4" s="37" t="s">
        <v>597</v>
      </c>
      <c r="AY4" s="50" t="s">
        <v>580</v>
      </c>
      <c r="AZ4" s="50" t="s">
        <v>580</v>
      </c>
      <c r="BA4" s="37" t="s">
        <v>580</v>
      </c>
      <c r="BB4" s="37" t="s">
        <v>167</v>
      </c>
      <c r="BC4" s="37" t="s">
        <v>596</v>
      </c>
      <c r="BD4" s="37" t="s">
        <v>596</v>
      </c>
      <c r="BE4" s="37" t="s">
        <v>598</v>
      </c>
      <c r="BF4" s="37" t="s">
        <v>599</v>
      </c>
      <c r="BG4" s="39" t="b">
        <f t="shared" ref="BG4:BG67" si="0">IF(A4="","",AND(TRIM(G4&amp;"")&lt;&gt;"",UPPER(TRIM(G4&amp;""))&lt;&gt;"NO"))</f>
        <v>1</v>
      </c>
      <c r="BH4" s="39" t="str">
        <f t="shared" ref="BH4:BH67" si="1">IF(J4="","",IF(ISNUMBER(SEARCH("absen",J4)),"Absence of Drainage Network",IF(OR(ISNUMBER(SEARCH("design",J4)),ISNUMBER(SEARCH("capacity",J4))),"Inadequate Design Capacity",IF(OR(ISNUMBER(SEARCH("upgrade",J4)),ISNUMBER(SEARCH("network",J4)),ISNUMBER(SEARCH("topog",J4)),ISNUMBER(SEARCH("road",J4))),"Topography &amp; Road Engineering","CHECK - map manually"))))</f>
        <v>Absence of Drainage Network</v>
      </c>
      <c r="BI4" s="39" t="b">
        <f t="shared" ref="BI4:BI67" si="2">IF(A4="","",AND(UPPER(TRIM(BF4&amp;""))="IDD",OR(TRIM(AN4&amp;"")&lt;&gt;"",TRIM(AY4&amp;"")&lt;&gt;"",TRIM(AZ4&amp;"")&lt;&gt;"")))</f>
        <v>0</v>
      </c>
      <c r="BJ4" t="str">
        <f t="shared" ref="BJ4:BJ67" si="3">IF(A4="","",IF(ISNUMBER(AZ4),AZ4,"CLIENT INPUT REQUIRED"))</f>
        <v>CLIENT INPUT REQUIRED</v>
      </c>
      <c r="BK4" s="39" t="str">
        <f>IF(A4="","",IF(BI4&lt;&gt;TRUE(),"No specific plan",IF(ISNUMBER(BJ4),IF(BJ4&lt;'Exec Summary'!$C$4,"Resolved before Feb 2027","Resolved after Feb 2027"),"CLIENT INPUT REQUIRED")))</f>
        <v>No specific plan</v>
      </c>
    </row>
    <row r="5" spans="1:63" ht="27" customHeight="1" x14ac:dyDescent="0.25">
      <c r="A5" s="38">
        <v>2</v>
      </c>
      <c r="B5" s="38" t="s">
        <v>163</v>
      </c>
      <c r="C5" s="38" t="s">
        <v>169</v>
      </c>
      <c r="D5" s="38">
        <v>24.238327289496599</v>
      </c>
      <c r="E5" s="38">
        <v>55.551994921859702</v>
      </c>
      <c r="F5" s="38" t="s">
        <v>165</v>
      </c>
      <c r="G5" s="38" t="s">
        <v>166</v>
      </c>
      <c r="H5" s="38"/>
      <c r="I5" s="38" t="s">
        <v>170</v>
      </c>
      <c r="J5" s="38" t="s">
        <v>23</v>
      </c>
      <c r="K5" s="61" t="s">
        <v>171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7" t="s">
        <v>170</v>
      </c>
      <c r="AN5" s="49" t="s">
        <v>581</v>
      </c>
      <c r="AO5" s="37" t="s">
        <v>581</v>
      </c>
      <c r="AP5" s="50" t="s">
        <v>577</v>
      </c>
      <c r="AQ5" s="37" t="s">
        <v>167</v>
      </c>
      <c r="AR5" s="37" t="s">
        <v>596</v>
      </c>
      <c r="AS5" s="52" t="s">
        <v>582</v>
      </c>
      <c r="AT5" s="51" t="s">
        <v>583</v>
      </c>
      <c r="AU5" s="52" t="s">
        <v>584</v>
      </c>
      <c r="AV5" s="51" t="s">
        <v>585</v>
      </c>
      <c r="AW5" s="37" t="s">
        <v>597</v>
      </c>
      <c r="AX5" s="37" t="s">
        <v>597</v>
      </c>
      <c r="AY5" s="53">
        <v>46327</v>
      </c>
      <c r="AZ5" s="53">
        <v>46722</v>
      </c>
      <c r="BA5" s="37" t="s">
        <v>600</v>
      </c>
      <c r="BB5" s="37" t="s">
        <v>170</v>
      </c>
      <c r="BC5" s="37" t="s">
        <v>596</v>
      </c>
      <c r="BD5" s="37" t="s">
        <v>596</v>
      </c>
      <c r="BE5" s="37" t="s">
        <v>598</v>
      </c>
      <c r="BF5" s="37" t="s">
        <v>599</v>
      </c>
      <c r="BG5" s="39" t="b">
        <f t="shared" si="0"/>
        <v>1</v>
      </c>
      <c r="BH5" s="39" t="str">
        <f t="shared" si="1"/>
        <v>Inadequate Design Capacity</v>
      </c>
      <c r="BI5" s="39" t="b">
        <f t="shared" si="2"/>
        <v>0</v>
      </c>
      <c r="BJ5">
        <f t="shared" si="3"/>
        <v>46722</v>
      </c>
      <c r="BK5" s="39" t="str">
        <f>IF(A5="","",IF(BI5&lt;&gt;TRUE(),"No specific plan",IF(ISNUMBER(BJ5),IF(BJ5&lt;'Exec Summary'!$C$4,"Resolved before Feb 2027","Resolved after Feb 2027"),"CLIENT INPUT REQUIRED")))</f>
        <v>No specific plan</v>
      </c>
    </row>
    <row r="6" spans="1:63" ht="27" customHeight="1" x14ac:dyDescent="0.25">
      <c r="A6" s="38">
        <v>3</v>
      </c>
      <c r="B6" s="38" t="s">
        <v>163</v>
      </c>
      <c r="C6" s="38" t="s">
        <v>172</v>
      </c>
      <c r="D6" s="38">
        <v>24.234745</v>
      </c>
      <c r="E6" s="38">
        <v>55.550541000000003</v>
      </c>
      <c r="F6" s="38" t="s">
        <v>165</v>
      </c>
      <c r="G6" s="38" t="s">
        <v>166</v>
      </c>
      <c r="H6" s="38"/>
      <c r="I6" s="38" t="s">
        <v>170</v>
      </c>
      <c r="J6" s="38" t="s">
        <v>23</v>
      </c>
      <c r="K6" s="61" t="s">
        <v>173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7" t="s">
        <v>170</v>
      </c>
      <c r="AN6" s="49" t="s">
        <v>581</v>
      </c>
      <c r="AO6" s="37" t="s">
        <v>581</v>
      </c>
      <c r="AP6" s="50" t="s">
        <v>577</v>
      </c>
      <c r="AQ6" s="37" t="s">
        <v>167</v>
      </c>
      <c r="AR6" s="37" t="s">
        <v>596</v>
      </c>
      <c r="AS6" s="52" t="s">
        <v>582</v>
      </c>
      <c r="AT6" s="51" t="s">
        <v>583</v>
      </c>
      <c r="AU6" s="52" t="s">
        <v>584</v>
      </c>
      <c r="AV6" s="51" t="s">
        <v>585</v>
      </c>
      <c r="AW6" s="37" t="s">
        <v>597</v>
      </c>
      <c r="AX6" s="37" t="s">
        <v>597</v>
      </c>
      <c r="AY6" s="53">
        <v>46327</v>
      </c>
      <c r="AZ6" s="53">
        <v>46722</v>
      </c>
      <c r="BA6" s="37" t="s">
        <v>600</v>
      </c>
      <c r="BB6" s="37" t="s">
        <v>170</v>
      </c>
      <c r="BC6" s="37" t="s">
        <v>596</v>
      </c>
      <c r="BD6" s="37" t="s">
        <v>596</v>
      </c>
      <c r="BE6" s="37" t="s">
        <v>598</v>
      </c>
      <c r="BF6" s="37" t="s">
        <v>599</v>
      </c>
      <c r="BG6" s="39" t="b">
        <f t="shared" si="0"/>
        <v>1</v>
      </c>
      <c r="BH6" s="39" t="str">
        <f t="shared" si="1"/>
        <v>Inadequate Design Capacity</v>
      </c>
      <c r="BI6" s="39" t="b">
        <f t="shared" si="2"/>
        <v>0</v>
      </c>
      <c r="BJ6">
        <f t="shared" si="3"/>
        <v>46722</v>
      </c>
      <c r="BK6" s="39" t="str">
        <f>IF(A6="","",IF(BI6&lt;&gt;TRUE(),"No specific plan",IF(ISNUMBER(BJ6),IF(BJ6&lt;'Exec Summary'!$C$4,"Resolved before Feb 2027","Resolved after Feb 2027"),"CLIENT INPUT REQUIRED")))</f>
        <v>No specific plan</v>
      </c>
    </row>
    <row r="7" spans="1:63" ht="27" customHeight="1" x14ac:dyDescent="0.25">
      <c r="A7" s="38">
        <v>4</v>
      </c>
      <c r="B7" s="38" t="s">
        <v>163</v>
      </c>
      <c r="C7" s="38" t="s">
        <v>174</v>
      </c>
      <c r="D7" s="38">
        <v>24.2197430585428</v>
      </c>
      <c r="E7" s="38">
        <v>55.5014167</v>
      </c>
      <c r="F7" s="38" t="s">
        <v>165</v>
      </c>
      <c r="G7" s="38" t="s">
        <v>166</v>
      </c>
      <c r="H7" s="38"/>
      <c r="I7" s="38" t="s">
        <v>170</v>
      </c>
      <c r="J7" s="38" t="s">
        <v>23</v>
      </c>
      <c r="K7" s="61" t="s">
        <v>175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7" t="s">
        <v>167</v>
      </c>
      <c r="AN7" s="49" t="s">
        <v>576</v>
      </c>
      <c r="AO7" s="37" t="s">
        <v>576</v>
      </c>
      <c r="AP7" s="50" t="s">
        <v>577</v>
      </c>
      <c r="AQ7" s="37" t="s">
        <v>167</v>
      </c>
      <c r="AR7" s="37" t="s">
        <v>596</v>
      </c>
      <c r="AS7" s="52" t="s">
        <v>582</v>
      </c>
      <c r="AT7" s="51" t="s">
        <v>583</v>
      </c>
      <c r="AU7" s="51" t="s">
        <v>576</v>
      </c>
      <c r="AV7" s="51" t="s">
        <v>576</v>
      </c>
      <c r="AW7" s="37" t="s">
        <v>597</v>
      </c>
      <c r="AX7" s="37" t="s">
        <v>597</v>
      </c>
      <c r="AY7" s="50" t="s">
        <v>580</v>
      </c>
      <c r="AZ7" s="50" t="s">
        <v>580</v>
      </c>
      <c r="BA7" s="37" t="s">
        <v>580</v>
      </c>
      <c r="BB7" s="37" t="s">
        <v>167</v>
      </c>
      <c r="BC7" s="37" t="s">
        <v>596</v>
      </c>
      <c r="BD7" s="37" t="s">
        <v>596</v>
      </c>
      <c r="BE7" s="37" t="s">
        <v>598</v>
      </c>
      <c r="BF7" s="37" t="s">
        <v>599</v>
      </c>
      <c r="BG7" s="39" t="b">
        <f t="shared" si="0"/>
        <v>1</v>
      </c>
      <c r="BH7" s="39" t="str">
        <f t="shared" si="1"/>
        <v>Inadequate Design Capacity</v>
      </c>
      <c r="BI7" s="39" t="b">
        <f t="shared" si="2"/>
        <v>0</v>
      </c>
      <c r="BJ7" t="str">
        <f t="shared" si="3"/>
        <v>CLIENT INPUT REQUIRED</v>
      </c>
      <c r="BK7" s="39" t="str">
        <f>IF(A7="","",IF(BI7&lt;&gt;TRUE(),"No specific plan",IF(ISNUMBER(BJ7),IF(BJ7&lt;'Exec Summary'!$C$4,"Resolved before Feb 2027","Resolved after Feb 2027"),"CLIENT INPUT REQUIRED")))</f>
        <v>No specific plan</v>
      </c>
    </row>
    <row r="8" spans="1:63" ht="27" customHeight="1" x14ac:dyDescent="0.25">
      <c r="A8" s="38">
        <v>5</v>
      </c>
      <c r="B8" s="38" t="s">
        <v>163</v>
      </c>
      <c r="C8" s="38" t="s">
        <v>176</v>
      </c>
      <c r="D8" s="38">
        <v>24.213405999999999</v>
      </c>
      <c r="E8" s="38">
        <v>55.590640999999998</v>
      </c>
      <c r="F8" s="38" t="s">
        <v>165</v>
      </c>
      <c r="G8" s="38" t="s">
        <v>166</v>
      </c>
      <c r="H8" s="38"/>
      <c r="I8" s="38" t="s">
        <v>170</v>
      </c>
      <c r="J8" s="38" t="s">
        <v>23</v>
      </c>
      <c r="K8" s="61" t="s">
        <v>177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7" t="s">
        <v>170</v>
      </c>
      <c r="AN8" s="49" t="s">
        <v>581</v>
      </c>
      <c r="AO8" s="37" t="s">
        <v>581</v>
      </c>
      <c r="AP8" s="50" t="s">
        <v>577</v>
      </c>
      <c r="AQ8" s="37" t="s">
        <v>167</v>
      </c>
      <c r="AR8" s="37" t="s">
        <v>596</v>
      </c>
      <c r="AS8" s="52" t="s">
        <v>582</v>
      </c>
      <c r="AT8" s="51" t="s">
        <v>583</v>
      </c>
      <c r="AU8" s="52" t="s">
        <v>584</v>
      </c>
      <c r="AV8" s="51" t="s">
        <v>585</v>
      </c>
      <c r="AW8" s="37" t="s">
        <v>597</v>
      </c>
      <c r="AX8" s="37" t="s">
        <v>597</v>
      </c>
      <c r="AY8" s="53">
        <v>46327</v>
      </c>
      <c r="AZ8" s="53">
        <v>46722</v>
      </c>
      <c r="BA8" s="37" t="s">
        <v>600</v>
      </c>
      <c r="BB8" s="37" t="s">
        <v>170</v>
      </c>
      <c r="BC8" s="37" t="s">
        <v>596</v>
      </c>
      <c r="BD8" s="37" t="s">
        <v>596</v>
      </c>
      <c r="BE8" s="37" t="s">
        <v>598</v>
      </c>
      <c r="BF8" s="37" t="s">
        <v>599</v>
      </c>
      <c r="BG8" s="39" t="b">
        <f t="shared" si="0"/>
        <v>1</v>
      </c>
      <c r="BH8" s="39" t="str">
        <f t="shared" si="1"/>
        <v>Inadequate Design Capacity</v>
      </c>
      <c r="BI8" s="39" t="b">
        <f t="shared" si="2"/>
        <v>0</v>
      </c>
      <c r="BJ8">
        <f t="shared" si="3"/>
        <v>46722</v>
      </c>
      <c r="BK8" s="39" t="str">
        <f>IF(A8="","",IF(BI8&lt;&gt;TRUE(),"No specific plan",IF(ISNUMBER(BJ8),IF(BJ8&lt;'Exec Summary'!$C$4,"Resolved before Feb 2027","Resolved after Feb 2027"),"CLIENT INPUT REQUIRED")))</f>
        <v>No specific plan</v>
      </c>
    </row>
    <row r="9" spans="1:63" ht="27" customHeight="1" x14ac:dyDescent="0.25">
      <c r="A9" s="38">
        <v>6</v>
      </c>
      <c r="B9" s="38" t="s">
        <v>178</v>
      </c>
      <c r="C9" s="38" t="s">
        <v>179</v>
      </c>
      <c r="D9" s="38">
        <v>23.846970900238901</v>
      </c>
      <c r="E9" s="38">
        <v>55.529395817193098</v>
      </c>
      <c r="F9" s="38" t="s">
        <v>13</v>
      </c>
      <c r="G9" s="38" t="s">
        <v>166</v>
      </c>
      <c r="H9" s="38"/>
      <c r="I9" s="38" t="s">
        <v>167</v>
      </c>
      <c r="J9" s="38" t="s">
        <v>24</v>
      </c>
      <c r="K9" s="61" t="s">
        <v>180</v>
      </c>
      <c r="L9" s="38"/>
      <c r="M9" s="38"/>
      <c r="N9" s="38"/>
      <c r="O9" s="38"/>
      <c r="P9" s="38">
        <v>0</v>
      </c>
      <c r="Q9" s="38"/>
      <c r="R9" s="38"/>
      <c r="S9" s="38"/>
      <c r="T9" s="38"/>
      <c r="U9" s="38"/>
      <c r="V9" s="38"/>
      <c r="W9" s="38"/>
      <c r="X9" s="38"/>
      <c r="Y9" s="38"/>
      <c r="Z9" s="38">
        <v>0</v>
      </c>
      <c r="AA9" s="38">
        <v>1</v>
      </c>
      <c r="AB9" s="38">
        <v>5000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7" t="s">
        <v>167</v>
      </c>
      <c r="AN9" s="49" t="s">
        <v>576</v>
      </c>
      <c r="AO9" s="37" t="s">
        <v>576</v>
      </c>
      <c r="AP9" s="50" t="s">
        <v>577</v>
      </c>
      <c r="AQ9" s="37" t="s">
        <v>167</v>
      </c>
      <c r="AR9" s="37" t="s">
        <v>596</v>
      </c>
      <c r="AS9" s="51" t="s">
        <v>578</v>
      </c>
      <c r="AT9" s="51" t="s">
        <v>579</v>
      </c>
      <c r="AU9" s="51" t="s">
        <v>576</v>
      </c>
      <c r="AV9" s="51" t="s">
        <v>576</v>
      </c>
      <c r="AW9" s="37" t="s">
        <v>597</v>
      </c>
      <c r="AX9" s="37" t="s">
        <v>597</v>
      </c>
      <c r="AY9" s="50" t="s">
        <v>580</v>
      </c>
      <c r="AZ9" s="50" t="s">
        <v>580</v>
      </c>
      <c r="BA9" s="37" t="s">
        <v>580</v>
      </c>
      <c r="BB9" s="37" t="s">
        <v>167</v>
      </c>
      <c r="BC9" s="37" t="s">
        <v>596</v>
      </c>
      <c r="BD9" s="37" t="s">
        <v>596</v>
      </c>
      <c r="BE9" s="37" t="s">
        <v>598</v>
      </c>
      <c r="BF9" s="37" t="s">
        <v>599</v>
      </c>
      <c r="BG9" s="39" t="b">
        <f t="shared" si="0"/>
        <v>1</v>
      </c>
      <c r="BH9" s="39" t="str">
        <f t="shared" si="1"/>
        <v>Absence of Drainage Network</v>
      </c>
      <c r="BI9" s="39" t="b">
        <f t="shared" si="2"/>
        <v>0</v>
      </c>
      <c r="BJ9" t="str">
        <f t="shared" si="3"/>
        <v>CLIENT INPUT REQUIRED</v>
      </c>
      <c r="BK9" s="39" t="str">
        <f>IF(A9="","",IF(BI9&lt;&gt;TRUE(),"No specific plan",IF(ISNUMBER(BJ9),IF(BJ9&lt;'Exec Summary'!$C$4,"Resolved before Feb 2027","Resolved after Feb 2027"),"CLIENT INPUT REQUIRED")))</f>
        <v>No specific plan</v>
      </c>
    </row>
    <row r="10" spans="1:63" ht="27" customHeight="1" x14ac:dyDescent="0.25">
      <c r="A10" s="38">
        <v>7</v>
      </c>
      <c r="B10" s="38" t="s">
        <v>181</v>
      </c>
      <c r="C10" s="38" t="s">
        <v>182</v>
      </c>
      <c r="D10" s="38">
        <v>24.210464000000002</v>
      </c>
      <c r="E10" s="38">
        <v>55.635865000000003</v>
      </c>
      <c r="F10" s="38" t="s">
        <v>13</v>
      </c>
      <c r="G10" s="38" t="s">
        <v>166</v>
      </c>
      <c r="H10" s="38"/>
      <c r="I10" s="38" t="s">
        <v>170</v>
      </c>
      <c r="J10" s="38" t="s">
        <v>23</v>
      </c>
      <c r="K10" s="61" t="s">
        <v>183</v>
      </c>
      <c r="L10" s="38"/>
      <c r="M10" s="38"/>
      <c r="N10" s="38"/>
      <c r="O10" s="38"/>
      <c r="P10" s="38">
        <v>1</v>
      </c>
      <c r="Q10" s="38"/>
      <c r="R10" s="38"/>
      <c r="S10" s="38"/>
      <c r="T10" s="38"/>
      <c r="U10" s="38"/>
      <c r="V10" s="38"/>
      <c r="W10" s="38"/>
      <c r="X10" s="38"/>
      <c r="Y10" s="38"/>
      <c r="Z10" s="38">
        <v>5000</v>
      </c>
      <c r="AA10" s="38">
        <v>1</v>
      </c>
      <c r="AB10" s="38">
        <v>5000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7" t="s">
        <v>170</v>
      </c>
      <c r="AN10" s="49" t="s">
        <v>581</v>
      </c>
      <c r="AO10" s="37" t="s">
        <v>581</v>
      </c>
      <c r="AP10" s="50" t="s">
        <v>577</v>
      </c>
      <c r="AQ10" s="37" t="s">
        <v>167</v>
      </c>
      <c r="AR10" s="37" t="s">
        <v>596</v>
      </c>
      <c r="AS10" s="52" t="s">
        <v>582</v>
      </c>
      <c r="AT10" s="51" t="s">
        <v>583</v>
      </c>
      <c r="AU10" s="52" t="s">
        <v>584</v>
      </c>
      <c r="AV10" s="51" t="s">
        <v>585</v>
      </c>
      <c r="AW10" s="37" t="s">
        <v>597</v>
      </c>
      <c r="AX10" s="37" t="s">
        <v>597</v>
      </c>
      <c r="AY10" s="53">
        <v>45658</v>
      </c>
      <c r="AZ10" s="53">
        <v>46357</v>
      </c>
      <c r="BA10" s="65" t="s">
        <v>601</v>
      </c>
      <c r="BB10" s="37" t="s">
        <v>170</v>
      </c>
      <c r="BC10" s="63">
        <v>46064</v>
      </c>
      <c r="BD10" s="63">
        <v>46264</v>
      </c>
      <c r="BE10" s="37" t="s">
        <v>602</v>
      </c>
      <c r="BF10" s="37" t="s">
        <v>599</v>
      </c>
      <c r="BG10" s="39" t="b">
        <f t="shared" si="0"/>
        <v>1</v>
      </c>
      <c r="BH10" s="39" t="str">
        <f t="shared" si="1"/>
        <v>Inadequate Design Capacity</v>
      </c>
      <c r="BI10" s="39" t="b">
        <f t="shared" si="2"/>
        <v>0</v>
      </c>
      <c r="BJ10">
        <f t="shared" si="3"/>
        <v>46357</v>
      </c>
      <c r="BK10" s="39" t="str">
        <f>IF(A10="","",IF(BI10&lt;&gt;TRUE(),"No specific plan",IF(ISNUMBER(BJ10),IF(BJ10&lt;'Exec Summary'!$C$4,"Resolved before Feb 2027","Resolved after Feb 2027"),"CLIENT INPUT REQUIRED")))</f>
        <v>No specific plan</v>
      </c>
    </row>
    <row r="11" spans="1:63" ht="27" customHeight="1" x14ac:dyDescent="0.25">
      <c r="A11" s="38">
        <v>8</v>
      </c>
      <c r="B11" s="38" t="s">
        <v>181</v>
      </c>
      <c r="C11" s="38" t="s">
        <v>184</v>
      </c>
      <c r="D11" s="38">
        <v>24.209828000000002</v>
      </c>
      <c r="E11" s="38">
        <v>55.626956</v>
      </c>
      <c r="F11" s="38" t="s">
        <v>13</v>
      </c>
      <c r="G11" s="38" t="s">
        <v>166</v>
      </c>
      <c r="H11" s="38"/>
      <c r="I11" s="38" t="s">
        <v>170</v>
      </c>
      <c r="J11" s="38" t="s">
        <v>23</v>
      </c>
      <c r="K11" s="61" t="s">
        <v>185</v>
      </c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7" t="s">
        <v>170</v>
      </c>
      <c r="AN11" s="49" t="s">
        <v>603</v>
      </c>
      <c r="AO11" s="37" t="s">
        <v>603</v>
      </c>
      <c r="AP11" s="50" t="s">
        <v>577</v>
      </c>
      <c r="AQ11" s="37" t="s">
        <v>167</v>
      </c>
      <c r="AR11" s="37" t="s">
        <v>596</v>
      </c>
      <c r="AS11" s="52" t="s">
        <v>582</v>
      </c>
      <c r="AT11" s="51" t="s">
        <v>583</v>
      </c>
      <c r="AU11" s="52" t="s">
        <v>584</v>
      </c>
      <c r="AV11" s="51" t="s">
        <v>585</v>
      </c>
      <c r="AW11" s="37" t="s">
        <v>597</v>
      </c>
      <c r="AX11" s="37" t="s">
        <v>597</v>
      </c>
      <c r="AY11" s="53">
        <v>46388</v>
      </c>
      <c r="AZ11" s="53">
        <v>46722</v>
      </c>
      <c r="BA11" s="37" t="s">
        <v>600</v>
      </c>
      <c r="BB11" s="37" t="s">
        <v>170</v>
      </c>
      <c r="BC11" s="37" t="s">
        <v>596</v>
      </c>
      <c r="BD11" s="37" t="s">
        <v>596</v>
      </c>
      <c r="BE11" s="37" t="s">
        <v>598</v>
      </c>
      <c r="BF11" s="37" t="s">
        <v>599</v>
      </c>
      <c r="BG11" s="39" t="b">
        <f t="shared" si="0"/>
        <v>1</v>
      </c>
      <c r="BH11" s="39" t="str">
        <f t="shared" si="1"/>
        <v>Inadequate Design Capacity</v>
      </c>
      <c r="BI11" s="39" t="b">
        <f t="shared" si="2"/>
        <v>0</v>
      </c>
      <c r="BJ11">
        <f t="shared" si="3"/>
        <v>46722</v>
      </c>
      <c r="BK11" s="39" t="str">
        <f>IF(A11="","",IF(BI11&lt;&gt;TRUE(),"No specific plan",IF(ISNUMBER(BJ11),IF(BJ11&lt;'Exec Summary'!$C$4,"Resolved before Feb 2027","Resolved after Feb 2027"),"CLIENT INPUT REQUIRED")))</f>
        <v>No specific plan</v>
      </c>
    </row>
    <row r="12" spans="1:63" ht="27" customHeight="1" x14ac:dyDescent="0.25">
      <c r="A12" s="38">
        <v>9</v>
      </c>
      <c r="B12" s="38" t="s">
        <v>181</v>
      </c>
      <c r="C12" s="38" t="s">
        <v>186</v>
      </c>
      <c r="D12" s="38">
        <v>24.199294999999999</v>
      </c>
      <c r="E12" s="38">
        <v>55.628214</v>
      </c>
      <c r="F12" s="38" t="s">
        <v>13</v>
      </c>
      <c r="G12" s="38" t="s">
        <v>166</v>
      </c>
      <c r="H12" s="38"/>
      <c r="I12" s="38" t="s">
        <v>170</v>
      </c>
      <c r="J12" s="38" t="s">
        <v>23</v>
      </c>
      <c r="K12" s="61" t="s">
        <v>187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7" t="s">
        <v>170</v>
      </c>
      <c r="AN12" s="49" t="s">
        <v>581</v>
      </c>
      <c r="AO12" s="37" t="s">
        <v>581</v>
      </c>
      <c r="AP12" s="50" t="s">
        <v>577</v>
      </c>
      <c r="AQ12" s="37" t="s">
        <v>167</v>
      </c>
      <c r="AR12" s="37" t="s">
        <v>596</v>
      </c>
      <c r="AS12" s="52" t="s">
        <v>582</v>
      </c>
      <c r="AT12" s="51" t="s">
        <v>583</v>
      </c>
      <c r="AU12" s="52" t="s">
        <v>584</v>
      </c>
      <c r="AV12" s="51" t="s">
        <v>585</v>
      </c>
      <c r="AW12" s="37" t="s">
        <v>597</v>
      </c>
      <c r="AX12" s="37" t="s">
        <v>597</v>
      </c>
      <c r="AY12" s="53">
        <v>45658</v>
      </c>
      <c r="AZ12" s="53">
        <v>46357</v>
      </c>
      <c r="BA12" s="37" t="s">
        <v>601</v>
      </c>
      <c r="BB12" s="37" t="s">
        <v>170</v>
      </c>
      <c r="BC12" s="63">
        <v>46156</v>
      </c>
      <c r="BD12" s="37" t="s">
        <v>596</v>
      </c>
      <c r="BE12" s="37" t="s">
        <v>604</v>
      </c>
      <c r="BF12" s="37" t="s">
        <v>599</v>
      </c>
      <c r="BG12" s="39" t="b">
        <f t="shared" si="0"/>
        <v>1</v>
      </c>
      <c r="BH12" s="39" t="str">
        <f t="shared" si="1"/>
        <v>Inadequate Design Capacity</v>
      </c>
      <c r="BI12" s="39" t="b">
        <f t="shared" si="2"/>
        <v>0</v>
      </c>
      <c r="BJ12">
        <f t="shared" si="3"/>
        <v>46357</v>
      </c>
      <c r="BK12" s="39" t="str">
        <f>IF(A12="","",IF(BI12&lt;&gt;TRUE(),"No specific plan",IF(ISNUMBER(BJ12),IF(BJ12&lt;'Exec Summary'!$C$4,"Resolved before Feb 2027","Resolved after Feb 2027"),"CLIENT INPUT REQUIRED")))</f>
        <v>No specific plan</v>
      </c>
    </row>
    <row r="13" spans="1:63" ht="27" customHeight="1" x14ac:dyDescent="0.25">
      <c r="A13" s="38">
        <v>10</v>
      </c>
      <c r="B13" s="38" t="s">
        <v>188</v>
      </c>
      <c r="C13" s="38" t="s">
        <v>189</v>
      </c>
      <c r="D13" s="38">
        <v>24.064364216728801</v>
      </c>
      <c r="E13" s="38">
        <v>55.837395242328498</v>
      </c>
      <c r="F13" s="38" t="s">
        <v>12</v>
      </c>
      <c r="G13" s="38" t="s">
        <v>166</v>
      </c>
      <c r="H13" s="38"/>
      <c r="I13" s="38" t="s">
        <v>167</v>
      </c>
      <c r="J13" s="38" t="s">
        <v>24</v>
      </c>
      <c r="K13" s="61" t="s">
        <v>190</v>
      </c>
      <c r="L13" s="38"/>
      <c r="M13" s="38"/>
      <c r="N13" s="38"/>
      <c r="O13" s="38"/>
      <c r="P13" s="38">
        <v>3</v>
      </c>
      <c r="Q13" s="38"/>
      <c r="R13" s="38"/>
      <c r="S13" s="38"/>
      <c r="T13" s="38"/>
      <c r="U13" s="38"/>
      <c r="V13" s="38"/>
      <c r="W13" s="38"/>
      <c r="X13" s="38"/>
      <c r="Y13" s="38"/>
      <c r="Z13" s="38">
        <v>15000</v>
      </c>
      <c r="AA13" s="38">
        <v>4</v>
      </c>
      <c r="AB13" s="38">
        <v>20000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7" t="s">
        <v>167</v>
      </c>
      <c r="AN13" s="49" t="s">
        <v>576</v>
      </c>
      <c r="AO13" s="37" t="s">
        <v>576</v>
      </c>
      <c r="AP13" s="50" t="s">
        <v>577</v>
      </c>
      <c r="AQ13" s="37" t="s">
        <v>167</v>
      </c>
      <c r="AR13" s="37" t="s">
        <v>596</v>
      </c>
      <c r="AS13" s="51" t="s">
        <v>578</v>
      </c>
      <c r="AT13" s="51" t="s">
        <v>579</v>
      </c>
      <c r="AU13" s="51" t="s">
        <v>576</v>
      </c>
      <c r="AV13" s="51" t="s">
        <v>576</v>
      </c>
      <c r="AW13" s="37" t="s">
        <v>597</v>
      </c>
      <c r="AX13" s="37" t="s">
        <v>597</v>
      </c>
      <c r="AY13" s="50" t="s">
        <v>580</v>
      </c>
      <c r="AZ13" s="50" t="s">
        <v>580</v>
      </c>
      <c r="BA13" s="37" t="s">
        <v>580</v>
      </c>
      <c r="BB13" s="37" t="s">
        <v>167</v>
      </c>
      <c r="BC13" s="37" t="s">
        <v>596</v>
      </c>
      <c r="BD13" s="37" t="s">
        <v>596</v>
      </c>
      <c r="BE13" s="37" t="s">
        <v>598</v>
      </c>
      <c r="BF13" s="37" t="s">
        <v>599</v>
      </c>
      <c r="BG13" s="39" t="b">
        <f t="shared" si="0"/>
        <v>1</v>
      </c>
      <c r="BH13" s="39" t="str">
        <f t="shared" si="1"/>
        <v>Absence of Drainage Network</v>
      </c>
      <c r="BI13" s="39" t="b">
        <f t="shared" si="2"/>
        <v>0</v>
      </c>
      <c r="BJ13" t="str">
        <f t="shared" si="3"/>
        <v>CLIENT INPUT REQUIRED</v>
      </c>
      <c r="BK13" s="39" t="str">
        <f>IF(A13="","",IF(BI13&lt;&gt;TRUE(),"No specific plan",IF(ISNUMBER(BJ13),IF(BJ13&lt;'Exec Summary'!$C$4,"Resolved before Feb 2027","Resolved after Feb 2027"),"CLIENT INPUT REQUIRED")))</f>
        <v>No specific plan</v>
      </c>
    </row>
    <row r="14" spans="1:63" ht="27" customHeight="1" x14ac:dyDescent="0.25">
      <c r="A14" s="38">
        <v>11</v>
      </c>
      <c r="B14" s="38" t="s">
        <v>188</v>
      </c>
      <c r="C14" s="38" t="s">
        <v>191</v>
      </c>
      <c r="D14" s="38">
        <v>24.085677889764401</v>
      </c>
      <c r="E14" s="38">
        <v>55.8319873153429</v>
      </c>
      <c r="F14" s="38" t="s">
        <v>12</v>
      </c>
      <c r="G14" s="38" t="s">
        <v>166</v>
      </c>
      <c r="H14" s="38"/>
      <c r="I14" s="38" t="s">
        <v>170</v>
      </c>
      <c r="J14" s="38" t="s">
        <v>23</v>
      </c>
      <c r="K14" s="61" t="s">
        <v>192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7" t="s">
        <v>167</v>
      </c>
      <c r="AN14" s="49" t="s">
        <v>576</v>
      </c>
      <c r="AO14" s="37" t="s">
        <v>576</v>
      </c>
      <c r="AP14" s="50" t="s">
        <v>577</v>
      </c>
      <c r="AQ14" s="37" t="s">
        <v>167</v>
      </c>
      <c r="AR14" s="37" t="s">
        <v>596</v>
      </c>
      <c r="AS14" s="52" t="s">
        <v>582</v>
      </c>
      <c r="AT14" s="51" t="s">
        <v>583</v>
      </c>
      <c r="AU14" s="51" t="s">
        <v>576</v>
      </c>
      <c r="AV14" s="51" t="s">
        <v>576</v>
      </c>
      <c r="AW14" s="37" t="s">
        <v>597</v>
      </c>
      <c r="AX14" s="37" t="s">
        <v>597</v>
      </c>
      <c r="AY14" s="50" t="s">
        <v>580</v>
      </c>
      <c r="AZ14" s="50" t="s">
        <v>580</v>
      </c>
      <c r="BA14" s="37" t="s">
        <v>580</v>
      </c>
      <c r="BB14" s="37" t="s">
        <v>167</v>
      </c>
      <c r="BC14" s="37" t="s">
        <v>596</v>
      </c>
      <c r="BD14" s="37" t="s">
        <v>596</v>
      </c>
      <c r="BE14" s="37" t="s">
        <v>598</v>
      </c>
      <c r="BF14" s="37" t="s">
        <v>599</v>
      </c>
      <c r="BG14" s="39" t="b">
        <f t="shared" si="0"/>
        <v>1</v>
      </c>
      <c r="BH14" s="39" t="str">
        <f t="shared" si="1"/>
        <v>Inadequate Design Capacity</v>
      </c>
      <c r="BI14" s="39" t="b">
        <f t="shared" si="2"/>
        <v>0</v>
      </c>
      <c r="BJ14" t="str">
        <f t="shared" si="3"/>
        <v>CLIENT INPUT REQUIRED</v>
      </c>
      <c r="BK14" s="39" t="str">
        <f>IF(A14="","",IF(BI14&lt;&gt;TRUE(),"No specific plan",IF(ISNUMBER(BJ14),IF(BJ14&lt;'Exec Summary'!$C$4,"Resolved before Feb 2027","Resolved after Feb 2027"),"CLIENT INPUT REQUIRED")))</f>
        <v>No specific plan</v>
      </c>
    </row>
    <row r="15" spans="1:63" ht="27" customHeight="1" x14ac:dyDescent="0.25">
      <c r="A15" s="38">
        <v>12</v>
      </c>
      <c r="B15" s="38" t="s">
        <v>193</v>
      </c>
      <c r="C15" s="38" t="s">
        <v>194</v>
      </c>
      <c r="D15" s="38">
        <v>24.0328235853863</v>
      </c>
      <c r="E15" s="38">
        <v>55.844514071164198</v>
      </c>
      <c r="F15" s="38" t="s">
        <v>12</v>
      </c>
      <c r="G15" s="38" t="s">
        <v>166</v>
      </c>
      <c r="H15" s="38"/>
      <c r="I15" s="38" t="s">
        <v>167</v>
      </c>
      <c r="J15" s="38" t="s">
        <v>24</v>
      </c>
      <c r="K15" s="61" t="s">
        <v>190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7" t="s">
        <v>167</v>
      </c>
      <c r="AN15" s="49" t="s">
        <v>576</v>
      </c>
      <c r="AO15" s="37" t="s">
        <v>576</v>
      </c>
      <c r="AP15" s="50" t="s">
        <v>577</v>
      </c>
      <c r="AQ15" s="37" t="s">
        <v>167</v>
      </c>
      <c r="AR15" s="37" t="s">
        <v>596</v>
      </c>
      <c r="AS15" s="51" t="s">
        <v>578</v>
      </c>
      <c r="AT15" s="51" t="s">
        <v>579</v>
      </c>
      <c r="AU15" s="51" t="s">
        <v>576</v>
      </c>
      <c r="AV15" s="51" t="s">
        <v>576</v>
      </c>
      <c r="AW15" s="37" t="s">
        <v>597</v>
      </c>
      <c r="AX15" s="37" t="s">
        <v>597</v>
      </c>
      <c r="AY15" s="50" t="s">
        <v>580</v>
      </c>
      <c r="AZ15" s="50" t="s">
        <v>580</v>
      </c>
      <c r="BA15" s="37" t="s">
        <v>580</v>
      </c>
      <c r="BB15" s="37" t="s">
        <v>167</v>
      </c>
      <c r="BC15" s="37" t="s">
        <v>596</v>
      </c>
      <c r="BD15" s="37" t="s">
        <v>596</v>
      </c>
      <c r="BE15" s="37" t="s">
        <v>598</v>
      </c>
      <c r="BF15" s="37" t="s">
        <v>599</v>
      </c>
      <c r="BG15" s="39" t="b">
        <f t="shared" si="0"/>
        <v>1</v>
      </c>
      <c r="BH15" s="39" t="str">
        <f t="shared" si="1"/>
        <v>Absence of Drainage Network</v>
      </c>
      <c r="BI15" s="39" t="b">
        <f t="shared" si="2"/>
        <v>0</v>
      </c>
      <c r="BJ15" t="str">
        <f t="shared" si="3"/>
        <v>CLIENT INPUT REQUIRED</v>
      </c>
      <c r="BK15" s="39" t="str">
        <f>IF(A15="","",IF(BI15&lt;&gt;TRUE(),"No specific plan",IF(ISNUMBER(BJ15),IF(BJ15&lt;'Exec Summary'!$C$4,"Resolved before Feb 2027","Resolved after Feb 2027"),"CLIENT INPUT REQUIRED")))</f>
        <v>No specific plan</v>
      </c>
    </row>
    <row r="16" spans="1:63" ht="27" customHeight="1" x14ac:dyDescent="0.25">
      <c r="A16" s="38">
        <v>13</v>
      </c>
      <c r="B16" s="38" t="s">
        <v>188</v>
      </c>
      <c r="C16" s="38" t="s">
        <v>195</v>
      </c>
      <c r="D16" s="38">
        <v>24.036763000000001</v>
      </c>
      <c r="E16" s="38">
        <v>55.844098000000002</v>
      </c>
      <c r="F16" s="38" t="s">
        <v>12</v>
      </c>
      <c r="G16" s="38" t="s">
        <v>166</v>
      </c>
      <c r="H16" s="38"/>
      <c r="I16" s="38" t="s">
        <v>170</v>
      </c>
      <c r="J16" s="38" t="s">
        <v>23</v>
      </c>
      <c r="K16" s="61" t="s">
        <v>196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7" t="s">
        <v>167</v>
      </c>
      <c r="AN16" s="49" t="s">
        <v>576</v>
      </c>
      <c r="AO16" s="37" t="s">
        <v>576</v>
      </c>
      <c r="AP16" s="50" t="s">
        <v>577</v>
      </c>
      <c r="AQ16" s="37" t="s">
        <v>167</v>
      </c>
      <c r="AR16" s="37" t="s">
        <v>596</v>
      </c>
      <c r="AS16" s="52" t="s">
        <v>582</v>
      </c>
      <c r="AT16" s="51" t="s">
        <v>583</v>
      </c>
      <c r="AU16" s="51" t="s">
        <v>576</v>
      </c>
      <c r="AV16" s="51" t="s">
        <v>576</v>
      </c>
      <c r="AW16" s="37" t="s">
        <v>597</v>
      </c>
      <c r="AX16" s="37" t="s">
        <v>597</v>
      </c>
      <c r="AY16" s="50" t="s">
        <v>580</v>
      </c>
      <c r="AZ16" s="50" t="s">
        <v>580</v>
      </c>
      <c r="BA16" s="37" t="s">
        <v>580</v>
      </c>
      <c r="BB16" s="37" t="s">
        <v>167</v>
      </c>
      <c r="BC16" s="37" t="s">
        <v>596</v>
      </c>
      <c r="BD16" s="37" t="s">
        <v>596</v>
      </c>
      <c r="BE16" s="37" t="s">
        <v>598</v>
      </c>
      <c r="BF16" s="37" t="s">
        <v>599</v>
      </c>
      <c r="BG16" s="39" t="b">
        <f t="shared" si="0"/>
        <v>1</v>
      </c>
      <c r="BH16" s="39" t="str">
        <f t="shared" si="1"/>
        <v>Inadequate Design Capacity</v>
      </c>
      <c r="BI16" s="39" t="b">
        <f t="shared" si="2"/>
        <v>0</v>
      </c>
      <c r="BJ16" t="str">
        <f t="shared" si="3"/>
        <v>CLIENT INPUT REQUIRED</v>
      </c>
      <c r="BK16" s="39" t="str">
        <f>IF(A16="","",IF(BI16&lt;&gt;TRUE(),"No specific plan",IF(ISNUMBER(BJ16),IF(BJ16&lt;'Exec Summary'!$C$4,"Resolved before Feb 2027","Resolved after Feb 2027"),"CLIENT INPUT REQUIRED")))</f>
        <v>No specific plan</v>
      </c>
    </row>
    <row r="17" spans="1:63" ht="27" customHeight="1" x14ac:dyDescent="0.25">
      <c r="A17" s="38">
        <v>14</v>
      </c>
      <c r="B17" s="38" t="s">
        <v>188</v>
      </c>
      <c r="C17" s="38" t="s">
        <v>197</v>
      </c>
      <c r="D17" s="38">
        <v>24.091097999999999</v>
      </c>
      <c r="E17" s="38">
        <v>55.908138000000001</v>
      </c>
      <c r="F17" s="38" t="s">
        <v>12</v>
      </c>
      <c r="G17" s="38" t="s">
        <v>166</v>
      </c>
      <c r="H17" s="38"/>
      <c r="I17" s="38" t="s">
        <v>170</v>
      </c>
      <c r="J17" s="38" t="s">
        <v>23</v>
      </c>
      <c r="K17" s="61" t="s">
        <v>198</v>
      </c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7" t="s">
        <v>167</v>
      </c>
      <c r="AN17" s="49" t="s">
        <v>576</v>
      </c>
      <c r="AO17" s="37" t="s">
        <v>576</v>
      </c>
      <c r="AP17" s="50" t="s">
        <v>577</v>
      </c>
      <c r="AQ17" s="37" t="s">
        <v>167</v>
      </c>
      <c r="AR17" s="37" t="s">
        <v>596</v>
      </c>
      <c r="AS17" s="52" t="s">
        <v>582</v>
      </c>
      <c r="AT17" s="51" t="s">
        <v>583</v>
      </c>
      <c r="AU17" s="51" t="s">
        <v>576</v>
      </c>
      <c r="AV17" s="51" t="s">
        <v>576</v>
      </c>
      <c r="AW17" s="37" t="s">
        <v>597</v>
      </c>
      <c r="AX17" s="37" t="s">
        <v>597</v>
      </c>
      <c r="AY17" s="50" t="s">
        <v>580</v>
      </c>
      <c r="AZ17" s="50" t="s">
        <v>580</v>
      </c>
      <c r="BA17" s="37" t="s">
        <v>580</v>
      </c>
      <c r="BB17" s="37" t="s">
        <v>167</v>
      </c>
      <c r="BC17" s="37" t="s">
        <v>596</v>
      </c>
      <c r="BD17" s="37" t="s">
        <v>596</v>
      </c>
      <c r="BE17" s="37" t="s">
        <v>598</v>
      </c>
      <c r="BF17" s="37" t="s">
        <v>599</v>
      </c>
      <c r="BG17" s="39" t="b">
        <f t="shared" si="0"/>
        <v>1</v>
      </c>
      <c r="BH17" s="39" t="str">
        <f t="shared" si="1"/>
        <v>Inadequate Design Capacity</v>
      </c>
      <c r="BI17" s="39" t="b">
        <f t="shared" si="2"/>
        <v>0</v>
      </c>
      <c r="BJ17" t="str">
        <f t="shared" si="3"/>
        <v>CLIENT INPUT REQUIRED</v>
      </c>
      <c r="BK17" s="39" t="str">
        <f>IF(A17="","",IF(BI17&lt;&gt;TRUE(),"No specific plan",IF(ISNUMBER(BJ17),IF(BJ17&lt;'Exec Summary'!$C$4,"Resolved before Feb 2027","Resolved after Feb 2027"),"CLIENT INPUT REQUIRED")))</f>
        <v>No specific plan</v>
      </c>
    </row>
    <row r="18" spans="1:63" ht="27" customHeight="1" x14ac:dyDescent="0.25">
      <c r="A18" s="38">
        <v>15</v>
      </c>
      <c r="B18" s="38" t="s">
        <v>199</v>
      </c>
      <c r="C18" s="38" t="s">
        <v>200</v>
      </c>
      <c r="D18" s="38">
        <v>24.686554999999998</v>
      </c>
      <c r="E18" s="38">
        <v>55.641832000000001</v>
      </c>
      <c r="F18" s="38" t="s">
        <v>12</v>
      </c>
      <c r="G18" s="38" t="s">
        <v>166</v>
      </c>
      <c r="H18" s="38"/>
      <c r="I18" s="38" t="s">
        <v>167</v>
      </c>
      <c r="J18" s="38" t="s">
        <v>24</v>
      </c>
      <c r="K18" s="61" t="s">
        <v>190</v>
      </c>
      <c r="L18" s="38"/>
      <c r="M18" s="38"/>
      <c r="N18" s="38"/>
      <c r="O18" s="38"/>
      <c r="P18" s="38">
        <v>0</v>
      </c>
      <c r="Q18" s="38"/>
      <c r="R18" s="38"/>
      <c r="S18" s="38"/>
      <c r="T18" s="38"/>
      <c r="U18" s="38"/>
      <c r="V18" s="38"/>
      <c r="W18" s="38"/>
      <c r="X18" s="38"/>
      <c r="Y18" s="38"/>
      <c r="Z18" s="38">
        <v>0</v>
      </c>
      <c r="AA18" s="38">
        <v>1</v>
      </c>
      <c r="AB18" s="38">
        <v>5000</v>
      </c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7" t="s">
        <v>170</v>
      </c>
      <c r="AN18" s="49" t="s">
        <v>586</v>
      </c>
      <c r="AO18" s="37" t="s">
        <v>586</v>
      </c>
      <c r="AP18" s="50" t="s">
        <v>577</v>
      </c>
      <c r="AQ18" s="37" t="s">
        <v>167</v>
      </c>
      <c r="AR18" s="37" t="s">
        <v>596</v>
      </c>
      <c r="AS18" s="52" t="s">
        <v>582</v>
      </c>
      <c r="AT18" s="51" t="s">
        <v>583</v>
      </c>
      <c r="AU18" s="52" t="s">
        <v>587</v>
      </c>
      <c r="AV18" s="51" t="s">
        <v>588</v>
      </c>
      <c r="AW18" s="37" t="s">
        <v>597</v>
      </c>
      <c r="AX18" s="37" t="s">
        <v>597</v>
      </c>
      <c r="AY18" s="53">
        <v>46327</v>
      </c>
      <c r="AZ18" s="53">
        <v>46722</v>
      </c>
      <c r="BA18" s="37" t="s">
        <v>600</v>
      </c>
      <c r="BB18" s="37" t="s">
        <v>170</v>
      </c>
      <c r="BC18" s="64" t="s">
        <v>596</v>
      </c>
      <c r="BD18" s="64" t="s">
        <v>596</v>
      </c>
      <c r="BE18" s="37" t="s">
        <v>598</v>
      </c>
      <c r="BF18" s="37" t="s">
        <v>599</v>
      </c>
      <c r="BG18" s="39" t="b">
        <f t="shared" si="0"/>
        <v>1</v>
      </c>
      <c r="BH18" s="39" t="str">
        <f t="shared" si="1"/>
        <v>Absence of Drainage Network</v>
      </c>
      <c r="BI18" s="39" t="b">
        <f t="shared" si="2"/>
        <v>0</v>
      </c>
      <c r="BJ18">
        <f t="shared" si="3"/>
        <v>46722</v>
      </c>
      <c r="BK18" s="39" t="str">
        <f>IF(A18="","",IF(BI18&lt;&gt;TRUE(),"No specific plan",IF(ISNUMBER(BJ18),IF(BJ18&lt;'Exec Summary'!$C$4,"Resolved before Feb 2027","Resolved after Feb 2027"),"CLIENT INPUT REQUIRED")))</f>
        <v>No specific plan</v>
      </c>
    </row>
    <row r="19" spans="1:63" ht="27" customHeight="1" x14ac:dyDescent="0.25">
      <c r="A19" s="38">
        <v>16</v>
      </c>
      <c r="B19" s="38" t="s">
        <v>199</v>
      </c>
      <c r="C19" s="38" t="s">
        <v>201</v>
      </c>
      <c r="D19" s="38">
        <v>24.693579</v>
      </c>
      <c r="E19" s="38">
        <v>55.612558999999997</v>
      </c>
      <c r="F19" s="38" t="s">
        <v>12</v>
      </c>
      <c r="G19" s="38" t="s">
        <v>166</v>
      </c>
      <c r="H19" s="38"/>
      <c r="I19" s="38" t="s">
        <v>167</v>
      </c>
      <c r="J19" s="38" t="s">
        <v>24</v>
      </c>
      <c r="K19" s="61" t="s">
        <v>168</v>
      </c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7" t="s">
        <v>167</v>
      </c>
      <c r="AN19" s="49" t="s">
        <v>576</v>
      </c>
      <c r="AO19" s="37" t="s">
        <v>576</v>
      </c>
      <c r="AP19" s="50" t="s">
        <v>577</v>
      </c>
      <c r="AQ19" s="37" t="s">
        <v>167</v>
      </c>
      <c r="AR19" s="37" t="s">
        <v>596</v>
      </c>
      <c r="AS19" s="51" t="s">
        <v>578</v>
      </c>
      <c r="AT19" s="51" t="s">
        <v>579</v>
      </c>
      <c r="AU19" s="51" t="s">
        <v>576</v>
      </c>
      <c r="AV19" s="51" t="s">
        <v>576</v>
      </c>
      <c r="AW19" s="37" t="s">
        <v>597</v>
      </c>
      <c r="AX19" s="37" t="s">
        <v>597</v>
      </c>
      <c r="AY19" s="50" t="s">
        <v>580</v>
      </c>
      <c r="AZ19" s="50" t="s">
        <v>580</v>
      </c>
      <c r="BA19" s="37" t="s">
        <v>580</v>
      </c>
      <c r="BB19" s="37" t="s">
        <v>167</v>
      </c>
      <c r="BC19" s="64" t="s">
        <v>596</v>
      </c>
      <c r="BD19" s="64" t="s">
        <v>596</v>
      </c>
      <c r="BE19" s="37" t="s">
        <v>598</v>
      </c>
      <c r="BF19" s="37" t="s">
        <v>599</v>
      </c>
      <c r="BG19" s="39" t="b">
        <f t="shared" si="0"/>
        <v>1</v>
      </c>
      <c r="BH19" s="39" t="str">
        <f t="shared" si="1"/>
        <v>Absence of Drainage Network</v>
      </c>
      <c r="BI19" s="39" t="b">
        <f t="shared" si="2"/>
        <v>0</v>
      </c>
      <c r="BJ19" t="str">
        <f t="shared" si="3"/>
        <v>CLIENT INPUT REQUIRED</v>
      </c>
      <c r="BK19" s="39" t="str">
        <f>IF(A19="","",IF(BI19&lt;&gt;TRUE(),"No specific plan",IF(ISNUMBER(BJ19),IF(BJ19&lt;'Exec Summary'!$C$4,"Resolved before Feb 2027","Resolved after Feb 2027"),"CLIENT INPUT REQUIRED")))</f>
        <v>No specific plan</v>
      </c>
    </row>
    <row r="20" spans="1:63" ht="27" customHeight="1" x14ac:dyDescent="0.25">
      <c r="A20" s="38">
        <v>17</v>
      </c>
      <c r="B20" s="38" t="s">
        <v>202</v>
      </c>
      <c r="C20" s="38" t="s">
        <v>203</v>
      </c>
      <c r="D20" s="38">
        <v>24.155127</v>
      </c>
      <c r="E20" s="38">
        <v>55.658008000000002</v>
      </c>
      <c r="F20" s="38" t="s">
        <v>12</v>
      </c>
      <c r="G20" s="38" t="s">
        <v>166</v>
      </c>
      <c r="H20" s="38"/>
      <c r="I20" s="38" t="s">
        <v>170</v>
      </c>
      <c r="J20" s="38" t="s">
        <v>23</v>
      </c>
      <c r="K20" s="61" t="s">
        <v>204</v>
      </c>
      <c r="L20" s="38"/>
      <c r="M20" s="38"/>
      <c r="N20" s="38"/>
      <c r="O20" s="38"/>
      <c r="P20" s="38">
        <v>0</v>
      </c>
      <c r="Q20" s="38"/>
      <c r="R20" s="38"/>
      <c r="S20" s="38"/>
      <c r="T20" s="38"/>
      <c r="U20" s="38"/>
      <c r="V20" s="38"/>
      <c r="W20" s="38"/>
      <c r="X20" s="38"/>
      <c r="Y20" s="38"/>
      <c r="Z20" s="38">
        <v>0</v>
      </c>
      <c r="AA20" s="38">
        <v>1</v>
      </c>
      <c r="AB20" s="38">
        <v>5000</v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7" t="s">
        <v>167</v>
      </c>
      <c r="AN20" s="49" t="s">
        <v>576</v>
      </c>
      <c r="AO20" s="37" t="s">
        <v>576</v>
      </c>
      <c r="AP20" s="50" t="s">
        <v>577</v>
      </c>
      <c r="AQ20" s="37" t="s">
        <v>167</v>
      </c>
      <c r="AR20" s="37" t="s">
        <v>596</v>
      </c>
      <c r="AS20" s="52" t="s">
        <v>582</v>
      </c>
      <c r="AT20" s="51" t="s">
        <v>583</v>
      </c>
      <c r="AU20" s="51" t="s">
        <v>576</v>
      </c>
      <c r="AV20" s="51" t="s">
        <v>576</v>
      </c>
      <c r="AW20" s="37" t="s">
        <v>597</v>
      </c>
      <c r="AX20" s="37" t="s">
        <v>597</v>
      </c>
      <c r="AY20" s="50" t="s">
        <v>580</v>
      </c>
      <c r="AZ20" s="50" t="s">
        <v>580</v>
      </c>
      <c r="BA20" s="37" t="s">
        <v>580</v>
      </c>
      <c r="BB20" s="37" t="s">
        <v>167</v>
      </c>
      <c r="BC20" s="37" t="s">
        <v>596</v>
      </c>
      <c r="BD20" s="37" t="s">
        <v>596</v>
      </c>
      <c r="BE20" s="37" t="s">
        <v>598</v>
      </c>
      <c r="BF20" s="37" t="s">
        <v>599</v>
      </c>
      <c r="BG20" s="39" t="b">
        <f t="shared" si="0"/>
        <v>1</v>
      </c>
      <c r="BH20" s="39" t="str">
        <f t="shared" si="1"/>
        <v>Inadequate Design Capacity</v>
      </c>
      <c r="BI20" s="39" t="b">
        <f t="shared" si="2"/>
        <v>0</v>
      </c>
      <c r="BJ20" t="str">
        <f t="shared" si="3"/>
        <v>CLIENT INPUT REQUIRED</v>
      </c>
      <c r="BK20" s="39" t="str">
        <f>IF(A20="","",IF(BI20&lt;&gt;TRUE(),"No specific plan",IF(ISNUMBER(BJ20),IF(BJ20&lt;'Exec Summary'!$C$4,"Resolved before Feb 2027","Resolved after Feb 2027"),"CLIENT INPUT REQUIRED")))</f>
        <v>No specific plan</v>
      </c>
    </row>
    <row r="21" spans="1:63" ht="27" customHeight="1" x14ac:dyDescent="0.25">
      <c r="A21" s="38">
        <v>18</v>
      </c>
      <c r="B21" s="38" t="s">
        <v>202</v>
      </c>
      <c r="C21" s="38" t="s">
        <v>205</v>
      </c>
      <c r="D21" s="38">
        <v>24.1629864985781</v>
      </c>
      <c r="E21" s="38">
        <v>55.654950742328502</v>
      </c>
      <c r="F21" s="38" t="s">
        <v>165</v>
      </c>
      <c r="G21" s="38" t="s">
        <v>166</v>
      </c>
      <c r="H21" s="38"/>
      <c r="I21" s="38" t="s">
        <v>167</v>
      </c>
      <c r="J21" s="38" t="s">
        <v>24</v>
      </c>
      <c r="K21" s="61" t="s">
        <v>206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7" t="s">
        <v>167</v>
      </c>
      <c r="AN21" s="49" t="s">
        <v>576</v>
      </c>
      <c r="AO21" s="37" t="s">
        <v>576</v>
      </c>
      <c r="AP21" s="50" t="s">
        <v>577</v>
      </c>
      <c r="AQ21" s="37" t="s">
        <v>167</v>
      </c>
      <c r="AR21" s="37" t="s">
        <v>596</v>
      </c>
      <c r="AS21" s="51" t="s">
        <v>578</v>
      </c>
      <c r="AT21" s="51" t="s">
        <v>579</v>
      </c>
      <c r="AU21" s="51" t="s">
        <v>576</v>
      </c>
      <c r="AV21" s="51" t="s">
        <v>576</v>
      </c>
      <c r="AW21" s="37" t="s">
        <v>597</v>
      </c>
      <c r="AX21" s="37" t="s">
        <v>597</v>
      </c>
      <c r="AY21" s="50" t="s">
        <v>580</v>
      </c>
      <c r="AZ21" s="50" t="s">
        <v>580</v>
      </c>
      <c r="BA21" s="37" t="s">
        <v>580</v>
      </c>
      <c r="BB21" s="37" t="s">
        <v>167</v>
      </c>
      <c r="BC21" s="64" t="s">
        <v>596</v>
      </c>
      <c r="BD21" s="64" t="s">
        <v>596</v>
      </c>
      <c r="BE21" s="37" t="s">
        <v>598</v>
      </c>
      <c r="BF21" s="37" t="s">
        <v>599</v>
      </c>
      <c r="BG21" s="39" t="b">
        <f t="shared" si="0"/>
        <v>1</v>
      </c>
      <c r="BH21" s="39" t="str">
        <f t="shared" si="1"/>
        <v>Absence of Drainage Network</v>
      </c>
      <c r="BI21" s="39" t="b">
        <f t="shared" si="2"/>
        <v>0</v>
      </c>
      <c r="BJ21" t="str">
        <f t="shared" si="3"/>
        <v>CLIENT INPUT REQUIRED</v>
      </c>
      <c r="BK21" s="39" t="str">
        <f>IF(A21="","",IF(BI21&lt;&gt;TRUE(),"No specific plan",IF(ISNUMBER(BJ21),IF(BJ21&lt;'Exec Summary'!$C$4,"Resolved before Feb 2027","Resolved after Feb 2027"),"CLIENT INPUT REQUIRED")))</f>
        <v>No specific plan</v>
      </c>
    </row>
    <row r="22" spans="1:63" ht="27" customHeight="1" x14ac:dyDescent="0.25">
      <c r="A22" s="38">
        <v>19</v>
      </c>
      <c r="B22" s="38" t="s">
        <v>207</v>
      </c>
      <c r="C22" s="38" t="s">
        <v>208</v>
      </c>
      <c r="D22" s="38">
        <v>24.346862000000002</v>
      </c>
      <c r="E22" s="38">
        <v>55.777771999999999</v>
      </c>
      <c r="F22" s="38" t="s">
        <v>13</v>
      </c>
      <c r="G22" s="38" t="s">
        <v>166</v>
      </c>
      <c r="H22" s="38"/>
      <c r="I22" s="38" t="s">
        <v>170</v>
      </c>
      <c r="J22" s="38" t="s">
        <v>23</v>
      </c>
      <c r="K22" s="61" t="s">
        <v>209</v>
      </c>
      <c r="L22" s="38"/>
      <c r="M22" s="38"/>
      <c r="N22" s="38"/>
      <c r="O22" s="38"/>
      <c r="P22" s="38">
        <v>0</v>
      </c>
      <c r="Q22" s="38"/>
      <c r="R22" s="38"/>
      <c r="S22" s="38"/>
      <c r="T22" s="38"/>
      <c r="U22" s="38"/>
      <c r="V22" s="38"/>
      <c r="W22" s="38"/>
      <c r="X22" s="38"/>
      <c r="Y22" s="38"/>
      <c r="Z22" s="38">
        <v>0</v>
      </c>
      <c r="AA22" s="38">
        <v>2</v>
      </c>
      <c r="AB22" s="38">
        <v>10000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7" t="s">
        <v>170</v>
      </c>
      <c r="AN22" s="49" t="s">
        <v>589</v>
      </c>
      <c r="AO22" s="37" t="s">
        <v>589</v>
      </c>
      <c r="AP22" s="50" t="s">
        <v>577</v>
      </c>
      <c r="AQ22" s="37" t="s">
        <v>167</v>
      </c>
      <c r="AR22" s="37" t="s">
        <v>596</v>
      </c>
      <c r="AS22" s="52" t="s">
        <v>582</v>
      </c>
      <c r="AT22" s="51" t="s">
        <v>583</v>
      </c>
      <c r="AU22" s="52" t="s">
        <v>587</v>
      </c>
      <c r="AV22" s="51" t="s">
        <v>588</v>
      </c>
      <c r="AW22" s="37" t="s">
        <v>597</v>
      </c>
      <c r="AX22" s="37" t="s">
        <v>597</v>
      </c>
      <c r="AY22" s="53">
        <v>46419</v>
      </c>
      <c r="AZ22" s="53">
        <v>46753</v>
      </c>
      <c r="BA22" s="37" t="s">
        <v>600</v>
      </c>
      <c r="BB22" s="37" t="s">
        <v>170</v>
      </c>
      <c r="BC22" s="64" t="s">
        <v>596</v>
      </c>
      <c r="BD22" s="64" t="s">
        <v>596</v>
      </c>
      <c r="BE22" s="37" t="s">
        <v>598</v>
      </c>
      <c r="BF22" s="37" t="s">
        <v>599</v>
      </c>
      <c r="BG22" s="39" t="b">
        <f t="shared" si="0"/>
        <v>1</v>
      </c>
      <c r="BH22" s="39" t="str">
        <f t="shared" si="1"/>
        <v>Inadequate Design Capacity</v>
      </c>
      <c r="BI22" s="39" t="b">
        <f t="shared" si="2"/>
        <v>0</v>
      </c>
      <c r="BJ22">
        <f t="shared" si="3"/>
        <v>46753</v>
      </c>
      <c r="BK22" s="39" t="str">
        <f>IF(A22="","",IF(BI22&lt;&gt;TRUE(),"No specific plan",IF(ISNUMBER(BJ22),IF(BJ22&lt;'Exec Summary'!$C$4,"Resolved before Feb 2027","Resolved after Feb 2027"),"CLIENT INPUT REQUIRED")))</f>
        <v>No specific plan</v>
      </c>
    </row>
    <row r="23" spans="1:63" ht="27" customHeight="1" x14ac:dyDescent="0.25">
      <c r="A23" s="38">
        <v>20</v>
      </c>
      <c r="B23" s="38" t="s">
        <v>207</v>
      </c>
      <c r="C23" s="38" t="s">
        <v>210</v>
      </c>
      <c r="D23" s="38">
        <v>24.359905999999999</v>
      </c>
      <c r="E23" s="38">
        <v>55.787467999999997</v>
      </c>
      <c r="F23" s="38" t="s">
        <v>13</v>
      </c>
      <c r="G23" s="38" t="s">
        <v>166</v>
      </c>
      <c r="H23" s="38"/>
      <c r="I23" s="38" t="s">
        <v>167</v>
      </c>
      <c r="J23" s="38" t="s">
        <v>24</v>
      </c>
      <c r="K23" s="61" t="s">
        <v>190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7" t="s">
        <v>167</v>
      </c>
      <c r="AN23" s="49" t="s">
        <v>576</v>
      </c>
      <c r="AO23" s="37" t="s">
        <v>576</v>
      </c>
      <c r="AP23" s="50" t="s">
        <v>577</v>
      </c>
      <c r="AQ23" s="37" t="s">
        <v>167</v>
      </c>
      <c r="AR23" s="37" t="s">
        <v>596</v>
      </c>
      <c r="AS23" s="51" t="s">
        <v>578</v>
      </c>
      <c r="AT23" s="51" t="s">
        <v>579</v>
      </c>
      <c r="AU23" s="51" t="s">
        <v>576</v>
      </c>
      <c r="AV23" s="51" t="s">
        <v>576</v>
      </c>
      <c r="AW23" s="37" t="s">
        <v>597</v>
      </c>
      <c r="AX23" s="37" t="s">
        <v>597</v>
      </c>
      <c r="AY23" s="50" t="s">
        <v>580</v>
      </c>
      <c r="AZ23" s="50" t="s">
        <v>580</v>
      </c>
      <c r="BA23" s="37" t="s">
        <v>580</v>
      </c>
      <c r="BB23" s="37" t="s">
        <v>167</v>
      </c>
      <c r="BC23" s="64" t="s">
        <v>596</v>
      </c>
      <c r="BD23" s="37" t="s">
        <v>596</v>
      </c>
      <c r="BE23" s="37" t="s">
        <v>598</v>
      </c>
      <c r="BF23" s="37" t="s">
        <v>599</v>
      </c>
      <c r="BG23" s="39" t="b">
        <f t="shared" si="0"/>
        <v>1</v>
      </c>
      <c r="BH23" s="39" t="str">
        <f t="shared" si="1"/>
        <v>Absence of Drainage Network</v>
      </c>
      <c r="BI23" s="39" t="b">
        <f t="shared" si="2"/>
        <v>0</v>
      </c>
      <c r="BJ23" t="str">
        <f t="shared" si="3"/>
        <v>CLIENT INPUT REQUIRED</v>
      </c>
      <c r="BK23" s="39" t="str">
        <f>IF(A23="","",IF(BI23&lt;&gt;TRUE(),"No specific plan",IF(ISNUMBER(BJ23),IF(BJ23&lt;'Exec Summary'!$C$4,"Resolved before Feb 2027","Resolved after Feb 2027"),"CLIENT INPUT REQUIRED")))</f>
        <v>No specific plan</v>
      </c>
    </row>
    <row r="24" spans="1:63" ht="27" customHeight="1" x14ac:dyDescent="0.25">
      <c r="A24" s="38">
        <v>21</v>
      </c>
      <c r="B24" s="38" t="s">
        <v>207</v>
      </c>
      <c r="C24" s="38" t="s">
        <v>211</v>
      </c>
      <c r="D24" s="38">
        <v>24.342631999999998</v>
      </c>
      <c r="E24" s="38">
        <v>55.795045999999999</v>
      </c>
      <c r="F24" s="38" t="s">
        <v>12</v>
      </c>
      <c r="G24" s="38" t="s">
        <v>166</v>
      </c>
      <c r="H24" s="38"/>
      <c r="I24" s="38" t="s">
        <v>170</v>
      </c>
      <c r="J24" s="38" t="s">
        <v>23</v>
      </c>
      <c r="K24" s="61" t="s">
        <v>212</v>
      </c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7" t="s">
        <v>170</v>
      </c>
      <c r="AN24" s="49" t="s">
        <v>581</v>
      </c>
      <c r="AO24" s="37" t="s">
        <v>581</v>
      </c>
      <c r="AP24" s="50" t="s">
        <v>577</v>
      </c>
      <c r="AQ24" s="37" t="s">
        <v>167</v>
      </c>
      <c r="AR24" s="37" t="s">
        <v>596</v>
      </c>
      <c r="AS24" s="52" t="s">
        <v>582</v>
      </c>
      <c r="AT24" s="51" t="s">
        <v>583</v>
      </c>
      <c r="AU24" s="52" t="s">
        <v>584</v>
      </c>
      <c r="AV24" s="51" t="s">
        <v>585</v>
      </c>
      <c r="AW24" s="37" t="s">
        <v>597</v>
      </c>
      <c r="AX24" s="37" t="s">
        <v>597</v>
      </c>
      <c r="AY24" s="53">
        <v>45658</v>
      </c>
      <c r="AZ24" s="53">
        <v>46357</v>
      </c>
      <c r="BA24" s="37" t="s">
        <v>601</v>
      </c>
      <c r="BB24" s="37" t="s">
        <v>170</v>
      </c>
      <c r="BC24" s="53">
        <v>45824</v>
      </c>
      <c r="BD24" s="37" t="s">
        <v>596</v>
      </c>
      <c r="BE24" s="37" t="s">
        <v>604</v>
      </c>
      <c r="BF24" s="37" t="s">
        <v>599</v>
      </c>
      <c r="BG24" s="39" t="b">
        <f t="shared" si="0"/>
        <v>1</v>
      </c>
      <c r="BH24" s="39" t="str">
        <f t="shared" si="1"/>
        <v>Inadequate Design Capacity</v>
      </c>
      <c r="BI24" s="39" t="b">
        <f t="shared" si="2"/>
        <v>0</v>
      </c>
      <c r="BJ24">
        <f t="shared" si="3"/>
        <v>46357</v>
      </c>
      <c r="BK24" s="39" t="str">
        <f>IF(A24="","",IF(BI24&lt;&gt;TRUE(),"No specific plan",IF(ISNUMBER(BJ24),IF(BJ24&lt;'Exec Summary'!$C$4,"Resolved before Feb 2027","Resolved after Feb 2027"),"CLIENT INPUT REQUIRED")))</f>
        <v>No specific plan</v>
      </c>
    </row>
    <row r="25" spans="1:63" ht="27" customHeight="1" x14ac:dyDescent="0.25">
      <c r="A25" s="38">
        <v>22</v>
      </c>
      <c r="B25" s="38" t="s">
        <v>207</v>
      </c>
      <c r="C25" s="38" t="s">
        <v>213</v>
      </c>
      <c r="D25" s="38">
        <v>24.334205999999998</v>
      </c>
      <c r="E25" s="38">
        <v>55.792301000000002</v>
      </c>
      <c r="F25" s="38" t="s">
        <v>13</v>
      </c>
      <c r="G25" s="38" t="s">
        <v>166</v>
      </c>
      <c r="H25" s="38"/>
      <c r="I25" s="38" t="s">
        <v>170</v>
      </c>
      <c r="J25" s="38" t="s">
        <v>23</v>
      </c>
      <c r="K25" s="61" t="s">
        <v>214</v>
      </c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7" t="s">
        <v>167</v>
      </c>
      <c r="AN25" s="49" t="s">
        <v>576</v>
      </c>
      <c r="AO25" s="37" t="s">
        <v>576</v>
      </c>
      <c r="AP25" s="50" t="s">
        <v>577</v>
      </c>
      <c r="AQ25" s="37" t="s">
        <v>167</v>
      </c>
      <c r="AR25" s="37" t="s">
        <v>596</v>
      </c>
      <c r="AS25" s="52" t="s">
        <v>582</v>
      </c>
      <c r="AT25" s="51" t="s">
        <v>583</v>
      </c>
      <c r="AU25" s="51" t="s">
        <v>576</v>
      </c>
      <c r="AV25" s="51" t="s">
        <v>576</v>
      </c>
      <c r="AW25" s="37" t="s">
        <v>597</v>
      </c>
      <c r="AX25" s="37" t="s">
        <v>597</v>
      </c>
      <c r="AY25" s="50" t="s">
        <v>580</v>
      </c>
      <c r="AZ25" s="50" t="s">
        <v>580</v>
      </c>
      <c r="BA25" s="37" t="s">
        <v>580</v>
      </c>
      <c r="BB25" s="37" t="s">
        <v>167</v>
      </c>
      <c r="BC25" s="64" t="s">
        <v>596</v>
      </c>
      <c r="BD25" s="37" t="s">
        <v>596</v>
      </c>
      <c r="BE25" s="37" t="s">
        <v>598</v>
      </c>
      <c r="BF25" s="37" t="s">
        <v>599</v>
      </c>
      <c r="BG25" s="39" t="b">
        <f t="shared" si="0"/>
        <v>1</v>
      </c>
      <c r="BH25" s="39" t="str">
        <f t="shared" si="1"/>
        <v>Inadequate Design Capacity</v>
      </c>
      <c r="BI25" s="39" t="b">
        <f t="shared" si="2"/>
        <v>0</v>
      </c>
      <c r="BJ25" t="str">
        <f t="shared" si="3"/>
        <v>CLIENT INPUT REQUIRED</v>
      </c>
      <c r="BK25" s="39" t="str">
        <f>IF(A25="","",IF(BI25&lt;&gt;TRUE(),"No specific plan",IF(ISNUMBER(BJ25),IF(BJ25&lt;'Exec Summary'!$C$4,"Resolved before Feb 2027","Resolved after Feb 2027"),"CLIENT INPUT REQUIRED")))</f>
        <v>No specific plan</v>
      </c>
    </row>
    <row r="26" spans="1:63" ht="27" customHeight="1" x14ac:dyDescent="0.25">
      <c r="A26" s="38">
        <v>23</v>
      </c>
      <c r="B26" s="38" t="s">
        <v>215</v>
      </c>
      <c r="C26" s="38" t="s">
        <v>216</v>
      </c>
      <c r="D26" s="38">
        <v>24.610700000000001</v>
      </c>
      <c r="E26" s="38">
        <v>55.756262</v>
      </c>
      <c r="F26" s="38" t="s">
        <v>12</v>
      </c>
      <c r="G26" s="38" t="s">
        <v>166</v>
      </c>
      <c r="H26" s="38"/>
      <c r="I26" s="38" t="s">
        <v>170</v>
      </c>
      <c r="J26" s="38" t="s">
        <v>23</v>
      </c>
      <c r="K26" s="61" t="s">
        <v>217</v>
      </c>
      <c r="L26" s="38"/>
      <c r="M26" s="38"/>
      <c r="N26" s="38"/>
      <c r="O26" s="38"/>
      <c r="P26" s="38">
        <v>2</v>
      </c>
      <c r="Q26" s="38"/>
      <c r="R26" s="38"/>
      <c r="S26" s="38"/>
      <c r="T26" s="38"/>
      <c r="U26" s="38"/>
      <c r="V26" s="38"/>
      <c r="W26" s="38"/>
      <c r="X26" s="38"/>
      <c r="Y26" s="38"/>
      <c r="Z26" s="38">
        <v>10000</v>
      </c>
      <c r="AA26" s="38">
        <v>8</v>
      </c>
      <c r="AB26" s="38">
        <v>40000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7" t="s">
        <v>170</v>
      </c>
      <c r="AN26" s="49" t="s">
        <v>581</v>
      </c>
      <c r="AO26" s="37" t="s">
        <v>581</v>
      </c>
      <c r="AP26" s="50" t="s">
        <v>577</v>
      </c>
      <c r="AQ26" s="37" t="s">
        <v>167</v>
      </c>
      <c r="AR26" s="37" t="s">
        <v>596</v>
      </c>
      <c r="AS26" s="52" t="s">
        <v>582</v>
      </c>
      <c r="AT26" s="51" t="s">
        <v>583</v>
      </c>
      <c r="AU26" s="52" t="s">
        <v>584</v>
      </c>
      <c r="AV26" s="51" t="s">
        <v>585</v>
      </c>
      <c r="AW26" s="37" t="s">
        <v>597</v>
      </c>
      <c r="AX26" s="37" t="s">
        <v>597</v>
      </c>
      <c r="AY26" s="53">
        <v>45658</v>
      </c>
      <c r="AZ26" s="53">
        <v>46357</v>
      </c>
      <c r="BA26" s="37" t="s">
        <v>601</v>
      </c>
      <c r="BB26" s="37" t="s">
        <v>170</v>
      </c>
      <c r="BC26" s="53">
        <v>46127</v>
      </c>
      <c r="BD26" s="64" t="s">
        <v>596</v>
      </c>
      <c r="BE26" s="37" t="s">
        <v>604</v>
      </c>
      <c r="BF26" s="37" t="s">
        <v>599</v>
      </c>
      <c r="BG26" s="39" t="b">
        <f t="shared" si="0"/>
        <v>1</v>
      </c>
      <c r="BH26" s="39" t="str">
        <f t="shared" si="1"/>
        <v>Inadequate Design Capacity</v>
      </c>
      <c r="BI26" s="39" t="b">
        <f t="shared" si="2"/>
        <v>0</v>
      </c>
      <c r="BJ26">
        <f t="shared" si="3"/>
        <v>46357</v>
      </c>
      <c r="BK26" s="39" t="str">
        <f>IF(A26="","",IF(BI26&lt;&gt;TRUE(),"No specific plan",IF(ISNUMBER(BJ26),IF(BJ26&lt;'Exec Summary'!$C$4,"Resolved before Feb 2027","Resolved after Feb 2027"),"CLIENT INPUT REQUIRED")))</f>
        <v>No specific plan</v>
      </c>
    </row>
    <row r="27" spans="1:63" ht="27" customHeight="1" x14ac:dyDescent="0.25">
      <c r="A27" s="38">
        <v>24</v>
      </c>
      <c r="B27" s="38" t="s">
        <v>215</v>
      </c>
      <c r="C27" s="38" t="s">
        <v>218</v>
      </c>
      <c r="D27" s="38">
        <v>24.603507421658598</v>
      </c>
      <c r="E27" s="38">
        <v>55.759950742328499</v>
      </c>
      <c r="F27" s="38" t="s">
        <v>12</v>
      </c>
      <c r="G27" s="38" t="s">
        <v>166</v>
      </c>
      <c r="H27" s="38"/>
      <c r="I27" s="38" t="s">
        <v>167</v>
      </c>
      <c r="J27" s="38" t="s">
        <v>24</v>
      </c>
      <c r="K27" s="61" t="s">
        <v>219</v>
      </c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7" t="s">
        <v>167</v>
      </c>
      <c r="AN27" s="49" t="s">
        <v>576</v>
      </c>
      <c r="AO27" s="37" t="s">
        <v>576</v>
      </c>
      <c r="AP27" s="50" t="s">
        <v>577</v>
      </c>
      <c r="AQ27" s="37" t="s">
        <v>167</v>
      </c>
      <c r="AR27" s="37" t="s">
        <v>596</v>
      </c>
      <c r="AS27" s="51" t="s">
        <v>578</v>
      </c>
      <c r="AT27" s="51" t="s">
        <v>579</v>
      </c>
      <c r="AU27" s="51" t="s">
        <v>576</v>
      </c>
      <c r="AV27" s="51" t="s">
        <v>576</v>
      </c>
      <c r="AW27" s="37" t="s">
        <v>597</v>
      </c>
      <c r="AX27" s="37" t="s">
        <v>597</v>
      </c>
      <c r="AY27" s="50" t="s">
        <v>580</v>
      </c>
      <c r="AZ27" s="50" t="s">
        <v>580</v>
      </c>
      <c r="BA27" s="37" t="s">
        <v>580</v>
      </c>
      <c r="BB27" s="37" t="s">
        <v>167</v>
      </c>
      <c r="BC27" s="64" t="s">
        <v>596</v>
      </c>
      <c r="BD27" s="64" t="s">
        <v>596</v>
      </c>
      <c r="BE27" s="37" t="s">
        <v>598</v>
      </c>
      <c r="BF27" s="37" t="s">
        <v>599</v>
      </c>
      <c r="BG27" s="39" t="b">
        <f t="shared" si="0"/>
        <v>1</v>
      </c>
      <c r="BH27" s="39" t="str">
        <f t="shared" si="1"/>
        <v>Absence of Drainage Network</v>
      </c>
      <c r="BI27" s="39" t="b">
        <f t="shared" si="2"/>
        <v>0</v>
      </c>
      <c r="BJ27" t="str">
        <f t="shared" si="3"/>
        <v>CLIENT INPUT REQUIRED</v>
      </c>
      <c r="BK27" s="39" t="str">
        <f>IF(A27="","",IF(BI27&lt;&gt;TRUE(),"No specific plan",IF(ISNUMBER(BJ27),IF(BJ27&lt;'Exec Summary'!$C$4,"Resolved before Feb 2027","Resolved after Feb 2027"),"CLIENT INPUT REQUIRED")))</f>
        <v>No specific plan</v>
      </c>
    </row>
    <row r="28" spans="1:63" ht="27" customHeight="1" x14ac:dyDescent="0.25">
      <c r="A28" s="38">
        <v>25</v>
      </c>
      <c r="B28" s="38" t="s">
        <v>215</v>
      </c>
      <c r="C28" s="38" t="s">
        <v>220</v>
      </c>
      <c r="D28" s="38">
        <v>24.582993999999999</v>
      </c>
      <c r="E28" s="38">
        <v>55.737290000000002</v>
      </c>
      <c r="F28" s="38" t="s">
        <v>12</v>
      </c>
      <c r="G28" s="38" t="s">
        <v>166</v>
      </c>
      <c r="H28" s="38"/>
      <c r="I28" s="38" t="s">
        <v>167</v>
      </c>
      <c r="J28" s="38" t="s">
        <v>24</v>
      </c>
      <c r="K28" s="61" t="s">
        <v>168</v>
      </c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7" t="s">
        <v>167</v>
      </c>
      <c r="AN28" s="49" t="s">
        <v>576</v>
      </c>
      <c r="AO28" s="37" t="s">
        <v>576</v>
      </c>
      <c r="AP28" s="50" t="s">
        <v>577</v>
      </c>
      <c r="AQ28" s="37" t="s">
        <v>167</v>
      </c>
      <c r="AR28" s="37" t="s">
        <v>596</v>
      </c>
      <c r="AS28" s="51" t="s">
        <v>578</v>
      </c>
      <c r="AT28" s="51" t="s">
        <v>579</v>
      </c>
      <c r="AU28" s="51" t="s">
        <v>576</v>
      </c>
      <c r="AV28" s="51" t="s">
        <v>576</v>
      </c>
      <c r="AW28" s="37" t="s">
        <v>597</v>
      </c>
      <c r="AX28" s="37" t="s">
        <v>597</v>
      </c>
      <c r="AY28" s="50" t="s">
        <v>580</v>
      </c>
      <c r="AZ28" s="50" t="s">
        <v>580</v>
      </c>
      <c r="BA28" s="37" t="s">
        <v>580</v>
      </c>
      <c r="BB28" s="37" t="s">
        <v>167</v>
      </c>
      <c r="BC28" s="64" t="s">
        <v>596</v>
      </c>
      <c r="BD28" s="64" t="s">
        <v>596</v>
      </c>
      <c r="BE28" s="37" t="s">
        <v>598</v>
      </c>
      <c r="BF28" s="37" t="s">
        <v>599</v>
      </c>
      <c r="BG28" s="39" t="b">
        <f t="shared" si="0"/>
        <v>1</v>
      </c>
      <c r="BH28" s="39" t="str">
        <f t="shared" si="1"/>
        <v>Absence of Drainage Network</v>
      </c>
      <c r="BI28" s="39" t="b">
        <f t="shared" si="2"/>
        <v>0</v>
      </c>
      <c r="BJ28" t="str">
        <f t="shared" si="3"/>
        <v>CLIENT INPUT REQUIRED</v>
      </c>
      <c r="BK28" s="39" t="str">
        <f>IF(A28="","",IF(BI28&lt;&gt;TRUE(),"No specific plan",IF(ISNUMBER(BJ28),IF(BJ28&lt;'Exec Summary'!$C$4,"Resolved before Feb 2027","Resolved after Feb 2027"),"CLIENT INPUT REQUIRED")))</f>
        <v>No specific plan</v>
      </c>
    </row>
    <row r="29" spans="1:63" ht="27" customHeight="1" x14ac:dyDescent="0.25">
      <c r="A29" s="38">
        <v>26</v>
      </c>
      <c r="B29" s="38" t="s">
        <v>215</v>
      </c>
      <c r="C29" s="38" t="s">
        <v>221</v>
      </c>
      <c r="D29" s="38">
        <v>24.524595999999999</v>
      </c>
      <c r="E29" s="38">
        <v>55.552951</v>
      </c>
      <c r="F29" s="38" t="s">
        <v>12</v>
      </c>
      <c r="G29" s="38" t="s">
        <v>166</v>
      </c>
      <c r="H29" s="38"/>
      <c r="I29" s="38" t="s">
        <v>167</v>
      </c>
      <c r="J29" s="38" t="s">
        <v>24</v>
      </c>
      <c r="K29" s="61" t="s">
        <v>168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7" t="s">
        <v>170</v>
      </c>
      <c r="AN29" s="49" t="s">
        <v>586</v>
      </c>
      <c r="AO29" s="37" t="s">
        <v>586</v>
      </c>
      <c r="AP29" s="50" t="s">
        <v>577</v>
      </c>
      <c r="AQ29" s="37" t="s">
        <v>167</v>
      </c>
      <c r="AR29" s="37" t="s">
        <v>596</v>
      </c>
      <c r="AS29" s="52" t="s">
        <v>582</v>
      </c>
      <c r="AT29" s="51" t="s">
        <v>583</v>
      </c>
      <c r="AU29" s="52" t="s">
        <v>587</v>
      </c>
      <c r="AV29" s="51" t="s">
        <v>588</v>
      </c>
      <c r="AW29" s="37" t="s">
        <v>597</v>
      </c>
      <c r="AX29" s="37" t="s">
        <v>597</v>
      </c>
      <c r="AY29" s="53">
        <v>46327</v>
      </c>
      <c r="AZ29" s="53">
        <v>46722</v>
      </c>
      <c r="BA29" s="37" t="s">
        <v>600</v>
      </c>
      <c r="BB29" s="37" t="s">
        <v>170</v>
      </c>
      <c r="BC29" s="37" t="s">
        <v>596</v>
      </c>
      <c r="BD29" s="37" t="s">
        <v>596</v>
      </c>
      <c r="BE29" s="37" t="s">
        <v>598</v>
      </c>
      <c r="BF29" s="37" t="s">
        <v>599</v>
      </c>
      <c r="BG29" s="39" t="b">
        <f t="shared" si="0"/>
        <v>1</v>
      </c>
      <c r="BH29" s="39" t="str">
        <f t="shared" si="1"/>
        <v>Absence of Drainage Network</v>
      </c>
      <c r="BI29" s="39" t="b">
        <f t="shared" si="2"/>
        <v>0</v>
      </c>
      <c r="BJ29">
        <f t="shared" si="3"/>
        <v>46722</v>
      </c>
      <c r="BK29" s="39" t="str">
        <f>IF(A29="","",IF(BI29&lt;&gt;TRUE(),"No specific plan",IF(ISNUMBER(BJ29),IF(BJ29&lt;'Exec Summary'!$C$4,"Resolved before Feb 2027","Resolved after Feb 2027"),"CLIENT INPUT REQUIRED")))</f>
        <v>No specific plan</v>
      </c>
    </row>
    <row r="30" spans="1:63" ht="27" customHeight="1" x14ac:dyDescent="0.25">
      <c r="A30" s="38">
        <v>27</v>
      </c>
      <c r="B30" s="38" t="s">
        <v>215</v>
      </c>
      <c r="C30" s="38" t="s">
        <v>222</v>
      </c>
      <c r="D30" s="38">
        <v>24.548805999999999</v>
      </c>
      <c r="E30" s="38">
        <v>55.755432999999996</v>
      </c>
      <c r="F30" s="38" t="s">
        <v>12</v>
      </c>
      <c r="G30" s="38" t="s">
        <v>166</v>
      </c>
      <c r="H30" s="38"/>
      <c r="I30" s="38" t="s">
        <v>167</v>
      </c>
      <c r="J30" s="38" t="s">
        <v>24</v>
      </c>
      <c r="K30" s="61" t="s">
        <v>168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7" t="s">
        <v>170</v>
      </c>
      <c r="AN30" s="49" t="s">
        <v>586</v>
      </c>
      <c r="AO30" s="37" t="s">
        <v>586</v>
      </c>
      <c r="AP30" s="50" t="s">
        <v>577</v>
      </c>
      <c r="AQ30" s="37" t="s">
        <v>167</v>
      </c>
      <c r="AR30" s="37" t="s">
        <v>596</v>
      </c>
      <c r="AS30" s="52" t="s">
        <v>582</v>
      </c>
      <c r="AT30" s="51" t="s">
        <v>583</v>
      </c>
      <c r="AU30" s="52" t="s">
        <v>587</v>
      </c>
      <c r="AV30" s="51" t="s">
        <v>588</v>
      </c>
      <c r="AW30" s="37" t="s">
        <v>597</v>
      </c>
      <c r="AX30" s="37" t="s">
        <v>597</v>
      </c>
      <c r="AY30" s="53">
        <v>46327</v>
      </c>
      <c r="AZ30" s="53">
        <v>46722</v>
      </c>
      <c r="BA30" s="37" t="s">
        <v>600</v>
      </c>
      <c r="BB30" s="37" t="s">
        <v>170</v>
      </c>
      <c r="BC30" s="64" t="s">
        <v>596</v>
      </c>
      <c r="BD30" s="37" t="s">
        <v>596</v>
      </c>
      <c r="BE30" s="37" t="s">
        <v>598</v>
      </c>
      <c r="BF30" s="37" t="s">
        <v>599</v>
      </c>
      <c r="BG30" s="39" t="b">
        <f t="shared" si="0"/>
        <v>1</v>
      </c>
      <c r="BH30" s="39" t="str">
        <f t="shared" si="1"/>
        <v>Absence of Drainage Network</v>
      </c>
      <c r="BI30" s="39" t="b">
        <f t="shared" si="2"/>
        <v>0</v>
      </c>
      <c r="BJ30">
        <f t="shared" si="3"/>
        <v>46722</v>
      </c>
      <c r="BK30" s="39" t="str">
        <f>IF(A30="","",IF(BI30&lt;&gt;TRUE(),"No specific plan",IF(ISNUMBER(BJ30),IF(BJ30&lt;'Exec Summary'!$C$4,"Resolved before Feb 2027","Resolved after Feb 2027"),"CLIENT INPUT REQUIRED")))</f>
        <v>No specific plan</v>
      </c>
    </row>
    <row r="31" spans="1:63" ht="27" customHeight="1" x14ac:dyDescent="0.25">
      <c r="A31" s="38">
        <v>28</v>
      </c>
      <c r="B31" s="38" t="s">
        <v>215</v>
      </c>
      <c r="C31" s="38" t="s">
        <v>222</v>
      </c>
      <c r="D31" s="38">
        <v>24.572492</v>
      </c>
      <c r="E31" s="38">
        <v>55.747714999999999</v>
      </c>
      <c r="F31" s="38" t="s">
        <v>12</v>
      </c>
      <c r="G31" s="38" t="s">
        <v>166</v>
      </c>
      <c r="H31" s="38"/>
      <c r="I31" s="38" t="s">
        <v>170</v>
      </c>
      <c r="J31" s="38" t="s">
        <v>23</v>
      </c>
      <c r="K31" s="61" t="s">
        <v>223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7" t="s">
        <v>170</v>
      </c>
      <c r="AN31" s="49" t="s">
        <v>586</v>
      </c>
      <c r="AO31" s="37" t="s">
        <v>586</v>
      </c>
      <c r="AP31" s="50" t="s">
        <v>577</v>
      </c>
      <c r="AQ31" s="37" t="s">
        <v>167</v>
      </c>
      <c r="AR31" s="37" t="s">
        <v>596</v>
      </c>
      <c r="AS31" s="52" t="s">
        <v>582</v>
      </c>
      <c r="AT31" s="51" t="s">
        <v>583</v>
      </c>
      <c r="AU31" s="52" t="s">
        <v>587</v>
      </c>
      <c r="AV31" s="51" t="s">
        <v>588</v>
      </c>
      <c r="AW31" s="37" t="s">
        <v>597</v>
      </c>
      <c r="AX31" s="37" t="s">
        <v>597</v>
      </c>
      <c r="AY31" s="53">
        <v>46327</v>
      </c>
      <c r="AZ31" s="53">
        <v>46722</v>
      </c>
      <c r="BA31" s="37" t="s">
        <v>600</v>
      </c>
      <c r="BB31" s="37" t="s">
        <v>170</v>
      </c>
      <c r="BC31" s="64" t="s">
        <v>596</v>
      </c>
      <c r="BD31" s="64" t="s">
        <v>596</v>
      </c>
      <c r="BE31" s="37" t="s">
        <v>598</v>
      </c>
      <c r="BF31" s="37" t="s">
        <v>599</v>
      </c>
      <c r="BG31" s="39" t="b">
        <f t="shared" si="0"/>
        <v>1</v>
      </c>
      <c r="BH31" s="39" t="str">
        <f t="shared" si="1"/>
        <v>Inadequate Design Capacity</v>
      </c>
      <c r="BI31" s="39" t="b">
        <f t="shared" si="2"/>
        <v>0</v>
      </c>
      <c r="BJ31">
        <f t="shared" si="3"/>
        <v>46722</v>
      </c>
      <c r="BK31" s="39" t="str">
        <f>IF(A31="","",IF(BI31&lt;&gt;TRUE(),"No specific plan",IF(ISNUMBER(BJ31),IF(BJ31&lt;'Exec Summary'!$C$4,"Resolved before Feb 2027","Resolved after Feb 2027"),"CLIENT INPUT REQUIRED")))</f>
        <v>No specific plan</v>
      </c>
    </row>
    <row r="32" spans="1:63" ht="27" customHeight="1" x14ac:dyDescent="0.25">
      <c r="A32" s="38">
        <v>29</v>
      </c>
      <c r="B32" s="38" t="s">
        <v>215</v>
      </c>
      <c r="C32" s="38" t="s">
        <v>224</v>
      </c>
      <c r="D32" s="38">
        <v>24.588918</v>
      </c>
      <c r="E32" s="38">
        <v>55.744242999999997</v>
      </c>
      <c r="F32" s="38" t="s">
        <v>12</v>
      </c>
      <c r="G32" s="38" t="s">
        <v>166</v>
      </c>
      <c r="H32" s="38"/>
      <c r="I32" s="38" t="s">
        <v>167</v>
      </c>
      <c r="J32" s="38" t="s">
        <v>24</v>
      </c>
      <c r="K32" s="61" t="s">
        <v>168</v>
      </c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7" t="s">
        <v>170</v>
      </c>
      <c r="AN32" s="49" t="s">
        <v>590</v>
      </c>
      <c r="AO32" s="37" t="s">
        <v>590</v>
      </c>
      <c r="AP32" s="50" t="s">
        <v>577</v>
      </c>
      <c r="AQ32" s="37" t="s">
        <v>167</v>
      </c>
      <c r="AR32" s="37" t="s">
        <v>596</v>
      </c>
      <c r="AS32" s="52" t="s">
        <v>582</v>
      </c>
      <c r="AT32" s="51" t="s">
        <v>583</v>
      </c>
      <c r="AU32" s="52" t="s">
        <v>584</v>
      </c>
      <c r="AV32" s="51" t="s">
        <v>585</v>
      </c>
      <c r="AW32" s="37" t="s">
        <v>597</v>
      </c>
      <c r="AX32" s="37" t="s">
        <v>597</v>
      </c>
      <c r="AY32" s="50" t="s">
        <v>591</v>
      </c>
      <c r="AZ32" s="50" t="s">
        <v>591</v>
      </c>
      <c r="BA32" s="37" t="s">
        <v>600</v>
      </c>
      <c r="BB32" s="37" t="s">
        <v>170</v>
      </c>
      <c r="BC32" s="64" t="s">
        <v>596</v>
      </c>
      <c r="BD32" s="64" t="s">
        <v>596</v>
      </c>
      <c r="BE32" s="37" t="s">
        <v>605</v>
      </c>
      <c r="BF32" s="37" t="s">
        <v>599</v>
      </c>
      <c r="BG32" s="39" t="b">
        <f t="shared" si="0"/>
        <v>1</v>
      </c>
      <c r="BH32" s="39" t="str">
        <f t="shared" si="1"/>
        <v>Absence of Drainage Network</v>
      </c>
      <c r="BI32" s="39" t="b">
        <f t="shared" si="2"/>
        <v>0</v>
      </c>
      <c r="BJ32" t="str">
        <f t="shared" si="3"/>
        <v>CLIENT INPUT REQUIRED</v>
      </c>
      <c r="BK32" s="39" t="str">
        <f>IF(A32="","",IF(BI32&lt;&gt;TRUE(),"No specific plan",IF(ISNUMBER(BJ32),IF(BJ32&lt;'Exec Summary'!$C$4,"Resolved before Feb 2027","Resolved after Feb 2027"),"CLIENT INPUT REQUIRED")))</f>
        <v>No specific plan</v>
      </c>
    </row>
    <row r="33" spans="1:63" ht="27" customHeight="1" x14ac:dyDescent="0.25">
      <c r="A33" s="38">
        <v>30</v>
      </c>
      <c r="B33" s="38" t="s">
        <v>215</v>
      </c>
      <c r="C33" s="38" t="s">
        <v>225</v>
      </c>
      <c r="D33" s="38">
        <v>24.641158000000001</v>
      </c>
      <c r="E33" s="38">
        <v>55.710518999999998</v>
      </c>
      <c r="F33" s="38" t="s">
        <v>12</v>
      </c>
      <c r="G33" s="38" t="s">
        <v>166</v>
      </c>
      <c r="H33" s="38"/>
      <c r="I33" s="38" t="s">
        <v>167</v>
      </c>
      <c r="J33" s="38" t="s">
        <v>24</v>
      </c>
      <c r="K33" s="61" t="s">
        <v>168</v>
      </c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7" t="s">
        <v>170</v>
      </c>
      <c r="AN33" s="49" t="s">
        <v>586</v>
      </c>
      <c r="AO33" s="37" t="s">
        <v>586</v>
      </c>
      <c r="AP33" s="50" t="s">
        <v>577</v>
      </c>
      <c r="AQ33" s="37" t="s">
        <v>167</v>
      </c>
      <c r="AR33" s="37" t="s">
        <v>596</v>
      </c>
      <c r="AS33" s="52" t="s">
        <v>582</v>
      </c>
      <c r="AT33" s="51" t="s">
        <v>583</v>
      </c>
      <c r="AU33" s="52" t="s">
        <v>587</v>
      </c>
      <c r="AV33" s="51" t="s">
        <v>588</v>
      </c>
      <c r="AW33" s="37" t="s">
        <v>597</v>
      </c>
      <c r="AX33" s="37" t="s">
        <v>597</v>
      </c>
      <c r="AY33" s="53">
        <v>46327</v>
      </c>
      <c r="AZ33" s="53">
        <v>46722</v>
      </c>
      <c r="BA33" s="37" t="s">
        <v>600</v>
      </c>
      <c r="BB33" s="37" t="s">
        <v>170</v>
      </c>
      <c r="BC33" s="37" t="s">
        <v>596</v>
      </c>
      <c r="BD33" s="37" t="s">
        <v>596</v>
      </c>
      <c r="BE33" s="37" t="s">
        <v>598</v>
      </c>
      <c r="BF33" s="37" t="s">
        <v>599</v>
      </c>
      <c r="BG33" s="39" t="b">
        <f t="shared" si="0"/>
        <v>1</v>
      </c>
      <c r="BH33" s="39" t="str">
        <f t="shared" si="1"/>
        <v>Absence of Drainage Network</v>
      </c>
      <c r="BI33" s="39" t="b">
        <f t="shared" si="2"/>
        <v>0</v>
      </c>
      <c r="BJ33">
        <f t="shared" si="3"/>
        <v>46722</v>
      </c>
      <c r="BK33" s="39" t="str">
        <f>IF(A33="","",IF(BI33&lt;&gt;TRUE(),"No specific plan",IF(ISNUMBER(BJ33),IF(BJ33&lt;'Exec Summary'!$C$4,"Resolved before Feb 2027","Resolved after Feb 2027"),"CLIENT INPUT REQUIRED")))</f>
        <v>No specific plan</v>
      </c>
    </row>
    <row r="34" spans="1:63" ht="27" customHeight="1" x14ac:dyDescent="0.25">
      <c r="A34" s="38">
        <v>31</v>
      </c>
      <c r="B34" s="38" t="s">
        <v>215</v>
      </c>
      <c r="C34" s="38" t="s">
        <v>226</v>
      </c>
      <c r="D34" s="38">
        <v>24.548916999999999</v>
      </c>
      <c r="E34" s="38">
        <v>55.672201999999999</v>
      </c>
      <c r="F34" s="38" t="s">
        <v>12</v>
      </c>
      <c r="G34" s="38" t="s">
        <v>166</v>
      </c>
      <c r="H34" s="38"/>
      <c r="I34" s="38" t="s">
        <v>167</v>
      </c>
      <c r="J34" s="38" t="s">
        <v>24</v>
      </c>
      <c r="K34" s="61" t="s">
        <v>168</v>
      </c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7" t="s">
        <v>167</v>
      </c>
      <c r="AN34" s="49" t="s">
        <v>576</v>
      </c>
      <c r="AO34" s="37" t="s">
        <v>576</v>
      </c>
      <c r="AP34" s="50" t="s">
        <v>577</v>
      </c>
      <c r="AQ34" s="37" t="s">
        <v>167</v>
      </c>
      <c r="AR34" s="37" t="s">
        <v>596</v>
      </c>
      <c r="AS34" s="51" t="s">
        <v>578</v>
      </c>
      <c r="AT34" s="51" t="s">
        <v>579</v>
      </c>
      <c r="AU34" s="51" t="s">
        <v>576</v>
      </c>
      <c r="AV34" s="51" t="s">
        <v>576</v>
      </c>
      <c r="AW34" s="37" t="s">
        <v>597</v>
      </c>
      <c r="AX34" s="37" t="s">
        <v>597</v>
      </c>
      <c r="AY34" s="50" t="s">
        <v>580</v>
      </c>
      <c r="AZ34" s="50" t="s">
        <v>580</v>
      </c>
      <c r="BA34" s="37" t="s">
        <v>580</v>
      </c>
      <c r="BB34" s="37" t="s">
        <v>167</v>
      </c>
      <c r="BC34" s="37" t="s">
        <v>596</v>
      </c>
      <c r="BD34" s="37" t="s">
        <v>596</v>
      </c>
      <c r="BE34" s="37" t="s">
        <v>598</v>
      </c>
      <c r="BF34" s="37" t="s">
        <v>599</v>
      </c>
      <c r="BG34" s="39" t="b">
        <f t="shared" si="0"/>
        <v>1</v>
      </c>
      <c r="BH34" s="39" t="str">
        <f t="shared" si="1"/>
        <v>Absence of Drainage Network</v>
      </c>
      <c r="BI34" s="39" t="b">
        <f t="shared" si="2"/>
        <v>0</v>
      </c>
      <c r="BJ34" t="str">
        <f t="shared" si="3"/>
        <v>CLIENT INPUT REQUIRED</v>
      </c>
      <c r="BK34" s="39" t="str">
        <f>IF(A34="","",IF(BI34&lt;&gt;TRUE(),"No specific plan",IF(ISNUMBER(BJ34),IF(BJ34&lt;'Exec Summary'!$C$4,"Resolved before Feb 2027","Resolved after Feb 2027"),"CLIENT INPUT REQUIRED")))</f>
        <v>No specific plan</v>
      </c>
    </row>
    <row r="35" spans="1:63" ht="27" customHeight="1" x14ac:dyDescent="0.25">
      <c r="A35" s="38">
        <v>32</v>
      </c>
      <c r="B35" s="38" t="s">
        <v>227</v>
      </c>
      <c r="C35" s="38" t="s">
        <v>228</v>
      </c>
      <c r="D35" s="38">
        <v>24.260128999999999</v>
      </c>
      <c r="E35" s="38">
        <v>55.725130999999998</v>
      </c>
      <c r="F35" s="38" t="s">
        <v>165</v>
      </c>
      <c r="G35" s="38" t="s">
        <v>166</v>
      </c>
      <c r="H35" s="38"/>
      <c r="I35" s="38" t="s">
        <v>170</v>
      </c>
      <c r="J35" s="38" t="s">
        <v>23</v>
      </c>
      <c r="K35" s="61" t="s">
        <v>229</v>
      </c>
      <c r="L35" s="38"/>
      <c r="M35" s="38"/>
      <c r="N35" s="38"/>
      <c r="O35" s="38"/>
      <c r="P35" s="38">
        <v>0</v>
      </c>
      <c r="Q35" s="38"/>
      <c r="R35" s="38"/>
      <c r="S35" s="38"/>
      <c r="T35" s="38"/>
      <c r="U35" s="38"/>
      <c r="V35" s="38"/>
      <c r="W35" s="38"/>
      <c r="X35" s="38"/>
      <c r="Y35" s="38"/>
      <c r="Z35" s="38">
        <v>0</v>
      </c>
      <c r="AA35" s="38">
        <v>7</v>
      </c>
      <c r="AB35" s="38">
        <v>35000</v>
      </c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7" t="s">
        <v>170</v>
      </c>
      <c r="AN35" s="49" t="s">
        <v>581</v>
      </c>
      <c r="AO35" s="37" t="s">
        <v>581</v>
      </c>
      <c r="AP35" s="50" t="s">
        <v>577</v>
      </c>
      <c r="AQ35" s="37" t="s">
        <v>167</v>
      </c>
      <c r="AR35" s="37" t="s">
        <v>596</v>
      </c>
      <c r="AS35" s="52" t="s">
        <v>582</v>
      </c>
      <c r="AT35" s="51" t="s">
        <v>583</v>
      </c>
      <c r="AU35" s="52" t="s">
        <v>584</v>
      </c>
      <c r="AV35" s="51" t="s">
        <v>585</v>
      </c>
      <c r="AW35" s="37" t="s">
        <v>597</v>
      </c>
      <c r="AX35" s="37" t="s">
        <v>597</v>
      </c>
      <c r="AY35" s="53">
        <v>45658</v>
      </c>
      <c r="AZ35" s="53">
        <v>46357</v>
      </c>
      <c r="BA35" s="37" t="s">
        <v>601</v>
      </c>
      <c r="BB35" s="37" t="s">
        <v>170</v>
      </c>
      <c r="BC35" s="63">
        <v>45901</v>
      </c>
      <c r="BD35" s="37" t="s">
        <v>596</v>
      </c>
      <c r="BE35" s="37" t="s">
        <v>604</v>
      </c>
      <c r="BF35" s="37" t="s">
        <v>599</v>
      </c>
      <c r="BG35" s="39" t="b">
        <f t="shared" si="0"/>
        <v>1</v>
      </c>
      <c r="BH35" s="39" t="str">
        <f t="shared" si="1"/>
        <v>Inadequate Design Capacity</v>
      </c>
      <c r="BI35" s="39" t="b">
        <f t="shared" si="2"/>
        <v>0</v>
      </c>
      <c r="BJ35">
        <f t="shared" si="3"/>
        <v>46357</v>
      </c>
      <c r="BK35" s="39" t="str">
        <f>IF(A35="","",IF(BI35&lt;&gt;TRUE(),"No specific plan",IF(ISNUMBER(BJ35),IF(BJ35&lt;'Exec Summary'!$C$4,"Resolved before Feb 2027","Resolved after Feb 2027"),"CLIENT INPUT REQUIRED")))</f>
        <v>No specific plan</v>
      </c>
    </row>
    <row r="36" spans="1:63" ht="27" customHeight="1" x14ac:dyDescent="0.25">
      <c r="A36" s="38">
        <v>33</v>
      </c>
      <c r="B36" s="38" t="s">
        <v>227</v>
      </c>
      <c r="C36" s="38" t="s">
        <v>230</v>
      </c>
      <c r="D36" s="38">
        <v>24.241816893348702</v>
      </c>
      <c r="E36" s="38">
        <v>55.746481744178702</v>
      </c>
      <c r="F36" s="38" t="s">
        <v>165</v>
      </c>
      <c r="G36" s="38" t="s">
        <v>166</v>
      </c>
      <c r="H36" s="38"/>
      <c r="I36" s="38" t="s">
        <v>170</v>
      </c>
      <c r="J36" s="38" t="s">
        <v>23</v>
      </c>
      <c r="K36" s="61" t="s">
        <v>231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7" t="s">
        <v>170</v>
      </c>
      <c r="AN36" s="49" t="s">
        <v>581</v>
      </c>
      <c r="AO36" s="37" t="s">
        <v>581</v>
      </c>
      <c r="AP36" s="50" t="s">
        <v>577</v>
      </c>
      <c r="AQ36" s="37" t="s">
        <v>167</v>
      </c>
      <c r="AR36" s="37" t="s">
        <v>596</v>
      </c>
      <c r="AS36" s="52" t="s">
        <v>582</v>
      </c>
      <c r="AT36" s="51" t="s">
        <v>583</v>
      </c>
      <c r="AU36" s="52" t="s">
        <v>584</v>
      </c>
      <c r="AV36" s="51" t="s">
        <v>585</v>
      </c>
      <c r="AW36" s="37" t="s">
        <v>597</v>
      </c>
      <c r="AX36" s="37" t="s">
        <v>597</v>
      </c>
      <c r="AY36" s="53">
        <v>46388</v>
      </c>
      <c r="AZ36" s="53">
        <v>47088</v>
      </c>
      <c r="BA36" s="37" t="s">
        <v>600</v>
      </c>
      <c r="BB36" s="37" t="s">
        <v>170</v>
      </c>
      <c r="BC36" s="37" t="s">
        <v>596</v>
      </c>
      <c r="BD36" s="37" t="s">
        <v>596</v>
      </c>
      <c r="BE36" s="37" t="s">
        <v>598</v>
      </c>
      <c r="BF36" s="37" t="s">
        <v>599</v>
      </c>
      <c r="BG36" s="39" t="b">
        <f t="shared" si="0"/>
        <v>1</v>
      </c>
      <c r="BH36" s="39" t="str">
        <f t="shared" si="1"/>
        <v>Inadequate Design Capacity</v>
      </c>
      <c r="BI36" s="39" t="b">
        <f t="shared" si="2"/>
        <v>0</v>
      </c>
      <c r="BJ36">
        <f t="shared" si="3"/>
        <v>47088</v>
      </c>
      <c r="BK36" s="39" t="str">
        <f>IF(A36="","",IF(BI36&lt;&gt;TRUE(),"No specific plan",IF(ISNUMBER(BJ36),IF(BJ36&lt;'Exec Summary'!$C$4,"Resolved before Feb 2027","Resolved after Feb 2027"),"CLIENT INPUT REQUIRED")))</f>
        <v>No specific plan</v>
      </c>
    </row>
    <row r="37" spans="1:63" ht="27" customHeight="1" x14ac:dyDescent="0.25">
      <c r="A37" s="38">
        <v>34</v>
      </c>
      <c r="B37" s="38" t="s">
        <v>227</v>
      </c>
      <c r="C37" s="38" t="s">
        <v>232</v>
      </c>
      <c r="D37" s="38">
        <v>24.2473122127358</v>
      </c>
      <c r="E37" s="38">
        <v>55.747732756677699</v>
      </c>
      <c r="F37" s="38" t="s">
        <v>165</v>
      </c>
      <c r="G37" s="38" t="s">
        <v>166</v>
      </c>
      <c r="H37" s="38"/>
      <c r="I37" s="38" t="s">
        <v>170</v>
      </c>
      <c r="J37" s="38" t="s">
        <v>23</v>
      </c>
      <c r="K37" s="61" t="s">
        <v>233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7" t="s">
        <v>170</v>
      </c>
      <c r="AN37" s="49" t="s">
        <v>581</v>
      </c>
      <c r="AO37" s="37" t="s">
        <v>581</v>
      </c>
      <c r="AP37" s="50" t="s">
        <v>577</v>
      </c>
      <c r="AQ37" s="37" t="s">
        <v>167</v>
      </c>
      <c r="AR37" s="37" t="s">
        <v>596</v>
      </c>
      <c r="AS37" s="52" t="s">
        <v>582</v>
      </c>
      <c r="AT37" s="51" t="s">
        <v>583</v>
      </c>
      <c r="AU37" s="52" t="s">
        <v>584</v>
      </c>
      <c r="AV37" s="51" t="s">
        <v>585</v>
      </c>
      <c r="AW37" s="37" t="s">
        <v>597</v>
      </c>
      <c r="AX37" s="37" t="s">
        <v>597</v>
      </c>
      <c r="AY37" s="53">
        <v>46388</v>
      </c>
      <c r="AZ37" s="53">
        <v>47088</v>
      </c>
      <c r="BA37" s="37" t="s">
        <v>600</v>
      </c>
      <c r="BB37" s="37" t="s">
        <v>170</v>
      </c>
      <c r="BC37" s="37" t="s">
        <v>596</v>
      </c>
      <c r="BD37" s="37" t="s">
        <v>596</v>
      </c>
      <c r="BE37" s="37" t="s">
        <v>598</v>
      </c>
      <c r="BF37" s="37" t="s">
        <v>599</v>
      </c>
      <c r="BG37" s="39" t="b">
        <f t="shared" si="0"/>
        <v>1</v>
      </c>
      <c r="BH37" s="39" t="str">
        <f t="shared" si="1"/>
        <v>Inadequate Design Capacity</v>
      </c>
      <c r="BI37" s="39" t="b">
        <f t="shared" si="2"/>
        <v>0</v>
      </c>
      <c r="BJ37">
        <f t="shared" si="3"/>
        <v>47088</v>
      </c>
      <c r="BK37" s="39" t="str">
        <f>IF(A37="","",IF(BI37&lt;&gt;TRUE(),"No specific plan",IF(ISNUMBER(BJ37),IF(BJ37&lt;'Exec Summary'!$C$4,"Resolved before Feb 2027","Resolved after Feb 2027"),"CLIENT INPUT REQUIRED")))</f>
        <v>No specific plan</v>
      </c>
    </row>
    <row r="38" spans="1:63" ht="27" customHeight="1" x14ac:dyDescent="0.25">
      <c r="A38" s="38">
        <v>35</v>
      </c>
      <c r="B38" s="38" t="s">
        <v>227</v>
      </c>
      <c r="C38" s="38" t="s">
        <v>234</v>
      </c>
      <c r="D38" s="38">
        <v>24.262838119901499</v>
      </c>
      <c r="E38" s="38">
        <v>55.728160909024801</v>
      </c>
      <c r="F38" s="38" t="s">
        <v>165</v>
      </c>
      <c r="G38" s="38" t="s">
        <v>235</v>
      </c>
      <c r="H38" s="38"/>
      <c r="I38" s="38" t="s">
        <v>170</v>
      </c>
      <c r="J38" s="38" t="s">
        <v>23</v>
      </c>
      <c r="K38" s="61" t="s">
        <v>236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7" t="s">
        <v>170</v>
      </c>
      <c r="AN38" s="49" t="s">
        <v>581</v>
      </c>
      <c r="AO38" s="37" t="s">
        <v>581</v>
      </c>
      <c r="AP38" s="50" t="s">
        <v>577</v>
      </c>
      <c r="AQ38" s="37" t="s">
        <v>167</v>
      </c>
      <c r="AR38" s="37" t="s">
        <v>596</v>
      </c>
      <c r="AS38" s="52" t="s">
        <v>582</v>
      </c>
      <c r="AT38" s="51" t="s">
        <v>583</v>
      </c>
      <c r="AU38" s="52" t="s">
        <v>584</v>
      </c>
      <c r="AV38" s="51" t="s">
        <v>585</v>
      </c>
      <c r="AW38" s="37" t="s">
        <v>597</v>
      </c>
      <c r="AX38" s="37" t="s">
        <v>597</v>
      </c>
      <c r="AY38" s="53">
        <v>45658</v>
      </c>
      <c r="AZ38" s="53">
        <v>46357</v>
      </c>
      <c r="BA38" s="37" t="s">
        <v>601</v>
      </c>
      <c r="BB38" s="37" t="s">
        <v>170</v>
      </c>
      <c r="BC38" s="63">
        <v>46117</v>
      </c>
      <c r="BD38" s="37" t="s">
        <v>596</v>
      </c>
      <c r="BE38" s="37" t="s">
        <v>604</v>
      </c>
      <c r="BF38" s="37" t="s">
        <v>599</v>
      </c>
      <c r="BG38" s="39" t="b">
        <f t="shared" si="0"/>
        <v>1</v>
      </c>
      <c r="BH38" s="39" t="str">
        <f t="shared" si="1"/>
        <v>Inadequate Design Capacity</v>
      </c>
      <c r="BI38" s="39" t="b">
        <f t="shared" si="2"/>
        <v>0</v>
      </c>
      <c r="BJ38">
        <f t="shared" si="3"/>
        <v>46357</v>
      </c>
      <c r="BK38" s="39" t="str">
        <f>IF(A38="","",IF(BI38&lt;&gt;TRUE(),"No specific plan",IF(ISNUMBER(BJ38),IF(BJ38&lt;'Exec Summary'!$C$4,"Resolved before Feb 2027","Resolved after Feb 2027"),"CLIENT INPUT REQUIRED")))</f>
        <v>No specific plan</v>
      </c>
    </row>
    <row r="39" spans="1:63" ht="27" customHeight="1" x14ac:dyDescent="0.25">
      <c r="A39" s="38">
        <v>36</v>
      </c>
      <c r="B39" s="38" t="s">
        <v>227</v>
      </c>
      <c r="C39" s="38" t="s">
        <v>237</v>
      </c>
      <c r="D39" s="38">
        <v>24.242357999999999</v>
      </c>
      <c r="E39" s="38">
        <v>55.719437999999997</v>
      </c>
      <c r="F39" s="38" t="s">
        <v>165</v>
      </c>
      <c r="G39" s="38" t="s">
        <v>166</v>
      </c>
      <c r="H39" s="38"/>
      <c r="I39" s="38" t="s">
        <v>170</v>
      </c>
      <c r="J39" s="38" t="s">
        <v>23</v>
      </c>
      <c r="K39" s="61" t="s">
        <v>238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7" t="s">
        <v>170</v>
      </c>
      <c r="AN39" s="49" t="s">
        <v>589</v>
      </c>
      <c r="AO39" s="37" t="s">
        <v>589</v>
      </c>
      <c r="AP39" s="50" t="s">
        <v>577</v>
      </c>
      <c r="AQ39" s="37" t="s">
        <v>167</v>
      </c>
      <c r="AR39" s="37" t="s">
        <v>596</v>
      </c>
      <c r="AS39" s="52" t="s">
        <v>582</v>
      </c>
      <c r="AT39" s="51" t="s">
        <v>583</v>
      </c>
      <c r="AU39" s="52" t="s">
        <v>587</v>
      </c>
      <c r="AV39" s="51" t="s">
        <v>588</v>
      </c>
      <c r="AW39" s="37" t="s">
        <v>597</v>
      </c>
      <c r="AX39" s="37" t="s">
        <v>597</v>
      </c>
      <c r="AY39" s="53">
        <v>46419</v>
      </c>
      <c r="AZ39" s="53">
        <v>46753</v>
      </c>
      <c r="BA39" s="37" t="s">
        <v>600</v>
      </c>
      <c r="BB39" s="37" t="s">
        <v>170</v>
      </c>
      <c r="BC39" s="37" t="s">
        <v>596</v>
      </c>
      <c r="BD39" s="37" t="s">
        <v>596</v>
      </c>
      <c r="BE39" s="37" t="s">
        <v>598</v>
      </c>
      <c r="BF39" s="37" t="s">
        <v>599</v>
      </c>
      <c r="BG39" s="39" t="b">
        <f t="shared" si="0"/>
        <v>1</v>
      </c>
      <c r="BH39" s="39" t="str">
        <f t="shared" si="1"/>
        <v>Inadequate Design Capacity</v>
      </c>
      <c r="BI39" s="39" t="b">
        <f t="shared" si="2"/>
        <v>0</v>
      </c>
      <c r="BJ39">
        <f t="shared" si="3"/>
        <v>46753</v>
      </c>
      <c r="BK39" s="39" t="str">
        <f>IF(A39="","",IF(BI39&lt;&gt;TRUE(),"No specific plan",IF(ISNUMBER(BJ39),IF(BJ39&lt;'Exec Summary'!$C$4,"Resolved before Feb 2027","Resolved after Feb 2027"),"CLIENT INPUT REQUIRED")))</f>
        <v>No specific plan</v>
      </c>
    </row>
    <row r="40" spans="1:63" ht="27" customHeight="1" x14ac:dyDescent="0.25">
      <c r="A40" s="38">
        <v>37</v>
      </c>
      <c r="B40" s="38" t="s">
        <v>227</v>
      </c>
      <c r="C40" s="38" t="s">
        <v>239</v>
      </c>
      <c r="D40" s="38">
        <v>24.249912999999999</v>
      </c>
      <c r="E40" s="38">
        <v>55.753202999999999</v>
      </c>
      <c r="F40" s="38" t="s">
        <v>165</v>
      </c>
      <c r="G40" s="38" t="s">
        <v>166</v>
      </c>
      <c r="H40" s="38"/>
      <c r="I40" s="38" t="s">
        <v>170</v>
      </c>
      <c r="J40" s="38" t="s">
        <v>23</v>
      </c>
      <c r="K40" s="61" t="s">
        <v>240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7" t="s">
        <v>170</v>
      </c>
      <c r="AN40" s="49" t="s">
        <v>581</v>
      </c>
      <c r="AO40" s="37" t="s">
        <v>581</v>
      </c>
      <c r="AP40" s="50" t="s">
        <v>577</v>
      </c>
      <c r="AQ40" s="37" t="s">
        <v>167</v>
      </c>
      <c r="AR40" s="37" t="s">
        <v>596</v>
      </c>
      <c r="AS40" s="52" t="s">
        <v>582</v>
      </c>
      <c r="AT40" s="51" t="s">
        <v>583</v>
      </c>
      <c r="AU40" s="52" t="s">
        <v>584</v>
      </c>
      <c r="AV40" s="51" t="s">
        <v>585</v>
      </c>
      <c r="AW40" s="37" t="s">
        <v>597</v>
      </c>
      <c r="AX40" s="37" t="s">
        <v>597</v>
      </c>
      <c r="AY40" s="53">
        <v>46388</v>
      </c>
      <c r="AZ40" s="53">
        <v>46905</v>
      </c>
      <c r="BA40" s="37" t="s">
        <v>600</v>
      </c>
      <c r="BB40" s="37" t="s">
        <v>170</v>
      </c>
      <c r="BC40" s="64" t="s">
        <v>596</v>
      </c>
      <c r="BD40" s="64" t="s">
        <v>596</v>
      </c>
      <c r="BE40" s="37" t="s">
        <v>598</v>
      </c>
      <c r="BF40" s="37" t="s">
        <v>599</v>
      </c>
      <c r="BG40" s="39" t="b">
        <f t="shared" si="0"/>
        <v>1</v>
      </c>
      <c r="BH40" s="39" t="str">
        <f t="shared" si="1"/>
        <v>Inadequate Design Capacity</v>
      </c>
      <c r="BI40" s="39" t="b">
        <f t="shared" si="2"/>
        <v>0</v>
      </c>
      <c r="BJ40">
        <f t="shared" si="3"/>
        <v>46905</v>
      </c>
      <c r="BK40" s="39" t="str">
        <f>IF(A40="","",IF(BI40&lt;&gt;TRUE(),"No specific plan",IF(ISNUMBER(BJ40),IF(BJ40&lt;'Exec Summary'!$C$4,"Resolved before Feb 2027","Resolved after Feb 2027"),"CLIENT INPUT REQUIRED")))</f>
        <v>No specific plan</v>
      </c>
    </row>
    <row r="41" spans="1:63" ht="27" customHeight="1" x14ac:dyDescent="0.25">
      <c r="A41" s="38">
        <v>38</v>
      </c>
      <c r="B41" s="38" t="s">
        <v>227</v>
      </c>
      <c r="C41" s="38" t="s">
        <v>241</v>
      </c>
      <c r="D41" s="38">
        <v>24.240079000000001</v>
      </c>
      <c r="E41" s="38">
        <v>55.730488999999999</v>
      </c>
      <c r="F41" s="38" t="s">
        <v>165</v>
      </c>
      <c r="G41" s="38" t="s">
        <v>166</v>
      </c>
      <c r="H41" s="38"/>
      <c r="I41" s="38" t="s">
        <v>167</v>
      </c>
      <c r="J41" s="38" t="s">
        <v>24</v>
      </c>
      <c r="K41" s="61" t="s">
        <v>242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7" t="s">
        <v>170</v>
      </c>
      <c r="AN41" s="49" t="s">
        <v>581</v>
      </c>
      <c r="AO41" s="37" t="s">
        <v>581</v>
      </c>
      <c r="AP41" s="50" t="s">
        <v>577</v>
      </c>
      <c r="AQ41" s="37" t="s">
        <v>167</v>
      </c>
      <c r="AR41" s="37" t="s">
        <v>596</v>
      </c>
      <c r="AS41" s="52" t="s">
        <v>582</v>
      </c>
      <c r="AT41" s="51" t="s">
        <v>583</v>
      </c>
      <c r="AU41" s="52" t="s">
        <v>584</v>
      </c>
      <c r="AV41" s="51" t="s">
        <v>585</v>
      </c>
      <c r="AW41" s="37" t="s">
        <v>597</v>
      </c>
      <c r="AX41" s="37" t="s">
        <v>597</v>
      </c>
      <c r="AY41" s="53">
        <v>45658</v>
      </c>
      <c r="AZ41" s="53">
        <v>46357</v>
      </c>
      <c r="BA41" s="37" t="s">
        <v>601</v>
      </c>
      <c r="BB41" s="37" t="s">
        <v>170</v>
      </c>
      <c r="BC41" s="53">
        <v>46266</v>
      </c>
      <c r="BD41" s="64" t="s">
        <v>596</v>
      </c>
      <c r="BE41" s="37" t="s">
        <v>606</v>
      </c>
      <c r="BF41" s="37" t="s">
        <v>599</v>
      </c>
      <c r="BG41" s="39" t="b">
        <f t="shared" si="0"/>
        <v>1</v>
      </c>
      <c r="BH41" s="39" t="str">
        <f t="shared" si="1"/>
        <v>Absence of Drainage Network</v>
      </c>
      <c r="BI41" s="39" t="b">
        <f t="shared" si="2"/>
        <v>0</v>
      </c>
      <c r="BJ41">
        <f t="shared" si="3"/>
        <v>46357</v>
      </c>
      <c r="BK41" s="39" t="str">
        <f>IF(A41="","",IF(BI41&lt;&gt;TRUE(),"No specific plan",IF(ISNUMBER(BJ41),IF(BJ41&lt;'Exec Summary'!$C$4,"Resolved before Feb 2027","Resolved after Feb 2027"),"CLIENT INPUT REQUIRED")))</f>
        <v>No specific plan</v>
      </c>
    </row>
    <row r="42" spans="1:63" ht="27" customHeight="1" x14ac:dyDescent="0.25">
      <c r="A42" s="38">
        <v>39</v>
      </c>
      <c r="B42" s="38" t="s">
        <v>227</v>
      </c>
      <c r="C42" s="38" t="s">
        <v>243</v>
      </c>
      <c r="D42" s="38">
        <v>24.237337</v>
      </c>
      <c r="E42" s="38">
        <v>55.737693999999998</v>
      </c>
      <c r="F42" s="38" t="s">
        <v>165</v>
      </c>
      <c r="G42" s="38" t="s">
        <v>166</v>
      </c>
      <c r="H42" s="38"/>
      <c r="I42" s="38" t="s">
        <v>170</v>
      </c>
      <c r="J42" s="38" t="s">
        <v>23</v>
      </c>
      <c r="K42" s="61" t="s">
        <v>244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7" t="s">
        <v>170</v>
      </c>
      <c r="AN42" s="49" t="s">
        <v>581</v>
      </c>
      <c r="AO42" s="37" t="s">
        <v>581</v>
      </c>
      <c r="AP42" s="50" t="s">
        <v>577</v>
      </c>
      <c r="AQ42" s="37" t="s">
        <v>167</v>
      </c>
      <c r="AR42" s="37" t="s">
        <v>596</v>
      </c>
      <c r="AS42" s="52" t="s">
        <v>582</v>
      </c>
      <c r="AT42" s="51" t="s">
        <v>583</v>
      </c>
      <c r="AU42" s="52" t="s">
        <v>584</v>
      </c>
      <c r="AV42" s="51" t="s">
        <v>585</v>
      </c>
      <c r="AW42" s="37" t="s">
        <v>597</v>
      </c>
      <c r="AX42" s="37" t="s">
        <v>597</v>
      </c>
      <c r="AY42" s="53">
        <v>45658</v>
      </c>
      <c r="AZ42" s="53">
        <v>46357</v>
      </c>
      <c r="BA42" s="37" t="s">
        <v>601</v>
      </c>
      <c r="BB42" s="37" t="s">
        <v>170</v>
      </c>
      <c r="BC42" s="37" t="s">
        <v>596</v>
      </c>
      <c r="BD42" s="37" t="s">
        <v>596</v>
      </c>
      <c r="BE42" s="37" t="s">
        <v>598</v>
      </c>
      <c r="BF42" s="37" t="s">
        <v>599</v>
      </c>
      <c r="BG42" s="39" t="b">
        <f t="shared" si="0"/>
        <v>1</v>
      </c>
      <c r="BH42" s="39" t="str">
        <f t="shared" si="1"/>
        <v>Inadequate Design Capacity</v>
      </c>
      <c r="BI42" s="39" t="b">
        <f t="shared" si="2"/>
        <v>0</v>
      </c>
      <c r="BJ42">
        <f t="shared" si="3"/>
        <v>46357</v>
      </c>
      <c r="BK42" s="39" t="str">
        <f>IF(A42="","",IF(BI42&lt;&gt;TRUE(),"No specific plan",IF(ISNUMBER(BJ42),IF(BJ42&lt;'Exec Summary'!$C$4,"Resolved before Feb 2027","Resolved after Feb 2027"),"CLIENT INPUT REQUIRED")))</f>
        <v>No specific plan</v>
      </c>
    </row>
    <row r="43" spans="1:63" ht="27" customHeight="1" x14ac:dyDescent="0.25">
      <c r="A43" s="38">
        <v>40</v>
      </c>
      <c r="B43" s="38" t="s">
        <v>227</v>
      </c>
      <c r="C43" s="38" t="s">
        <v>245</v>
      </c>
      <c r="D43" s="38">
        <v>24.245604</v>
      </c>
      <c r="E43" s="38">
        <v>55.722642</v>
      </c>
      <c r="F43" s="38" t="s">
        <v>165</v>
      </c>
      <c r="G43" s="38" t="s">
        <v>166</v>
      </c>
      <c r="H43" s="38"/>
      <c r="I43" s="38" t="s">
        <v>170</v>
      </c>
      <c r="J43" s="38" t="s">
        <v>23</v>
      </c>
      <c r="K43" s="61" t="s">
        <v>246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7" t="s">
        <v>170</v>
      </c>
      <c r="AN43" s="49" t="s">
        <v>581</v>
      </c>
      <c r="AO43" s="37" t="s">
        <v>581</v>
      </c>
      <c r="AP43" s="50" t="s">
        <v>577</v>
      </c>
      <c r="AQ43" s="37" t="s">
        <v>167</v>
      </c>
      <c r="AR43" s="37" t="s">
        <v>596</v>
      </c>
      <c r="AS43" s="52" t="s">
        <v>582</v>
      </c>
      <c r="AT43" s="51" t="s">
        <v>583</v>
      </c>
      <c r="AU43" s="52" t="s">
        <v>584</v>
      </c>
      <c r="AV43" s="51" t="s">
        <v>585</v>
      </c>
      <c r="AW43" s="37" t="s">
        <v>597</v>
      </c>
      <c r="AX43" s="37" t="s">
        <v>597</v>
      </c>
      <c r="AY43" s="53">
        <v>46388</v>
      </c>
      <c r="AZ43" s="53">
        <v>47088</v>
      </c>
      <c r="BA43" s="37" t="s">
        <v>600</v>
      </c>
      <c r="BB43" s="37" t="s">
        <v>170</v>
      </c>
      <c r="BC43" s="37" t="s">
        <v>596</v>
      </c>
      <c r="BD43" s="37" t="s">
        <v>596</v>
      </c>
      <c r="BE43" s="37" t="s">
        <v>598</v>
      </c>
      <c r="BF43" s="37" t="s">
        <v>599</v>
      </c>
      <c r="BG43" s="39" t="b">
        <f t="shared" si="0"/>
        <v>1</v>
      </c>
      <c r="BH43" s="39" t="str">
        <f t="shared" si="1"/>
        <v>Inadequate Design Capacity</v>
      </c>
      <c r="BI43" s="39" t="b">
        <f t="shared" si="2"/>
        <v>0</v>
      </c>
      <c r="BJ43">
        <f t="shared" si="3"/>
        <v>47088</v>
      </c>
      <c r="BK43" s="39" t="str">
        <f>IF(A43="","",IF(BI43&lt;&gt;TRUE(),"No specific plan",IF(ISNUMBER(BJ43),IF(BJ43&lt;'Exec Summary'!$C$4,"Resolved before Feb 2027","Resolved after Feb 2027"),"CLIENT INPUT REQUIRED")))</f>
        <v>No specific plan</v>
      </c>
    </row>
    <row r="44" spans="1:63" ht="27" customHeight="1" x14ac:dyDescent="0.25">
      <c r="A44" s="38">
        <v>41</v>
      </c>
      <c r="B44" s="38" t="s">
        <v>247</v>
      </c>
      <c r="C44" s="38" t="s">
        <v>248</v>
      </c>
      <c r="D44" s="38">
        <v>24.2291099375073</v>
      </c>
      <c r="E44" s="38">
        <v>55.681987803356201</v>
      </c>
      <c r="F44" s="38" t="s">
        <v>12</v>
      </c>
      <c r="G44" s="38" t="s">
        <v>166</v>
      </c>
      <c r="H44" s="38"/>
      <c r="I44" s="38" t="s">
        <v>170</v>
      </c>
      <c r="J44" s="38" t="s">
        <v>23</v>
      </c>
      <c r="K44" s="61" t="s">
        <v>249</v>
      </c>
      <c r="L44" s="38"/>
      <c r="M44" s="38"/>
      <c r="N44" s="38"/>
      <c r="O44" s="38"/>
      <c r="P44" s="38">
        <v>0</v>
      </c>
      <c r="Q44" s="38"/>
      <c r="R44" s="38"/>
      <c r="S44" s="38"/>
      <c r="T44" s="38"/>
      <c r="U44" s="38"/>
      <c r="V44" s="38"/>
      <c r="W44" s="38"/>
      <c r="X44" s="38"/>
      <c r="Y44" s="38"/>
      <c r="Z44" s="38">
        <v>0</v>
      </c>
      <c r="AA44" s="38">
        <v>4</v>
      </c>
      <c r="AB44" s="38">
        <v>20000</v>
      </c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7" t="s">
        <v>170</v>
      </c>
      <c r="AN44" s="49" t="s">
        <v>581</v>
      </c>
      <c r="AO44" s="37" t="s">
        <v>581</v>
      </c>
      <c r="AP44" s="50" t="s">
        <v>577</v>
      </c>
      <c r="AQ44" s="37" t="s">
        <v>167</v>
      </c>
      <c r="AR44" s="37" t="s">
        <v>596</v>
      </c>
      <c r="AS44" s="52" t="s">
        <v>582</v>
      </c>
      <c r="AT44" s="51" t="s">
        <v>583</v>
      </c>
      <c r="AU44" s="52" t="s">
        <v>584</v>
      </c>
      <c r="AV44" s="51" t="s">
        <v>585</v>
      </c>
      <c r="AW44" s="37" t="s">
        <v>597</v>
      </c>
      <c r="AX44" s="37" t="s">
        <v>597</v>
      </c>
      <c r="AY44" s="53">
        <v>45658</v>
      </c>
      <c r="AZ44" s="53">
        <v>46357</v>
      </c>
      <c r="BA44" s="37" t="s">
        <v>601</v>
      </c>
      <c r="BB44" s="37" t="s">
        <v>170</v>
      </c>
      <c r="BC44" s="63">
        <v>46023</v>
      </c>
      <c r="BD44" s="37" t="s">
        <v>596</v>
      </c>
      <c r="BE44" s="37" t="s">
        <v>606</v>
      </c>
      <c r="BF44" s="37" t="s">
        <v>599</v>
      </c>
      <c r="BG44" s="39" t="b">
        <f t="shared" si="0"/>
        <v>1</v>
      </c>
      <c r="BH44" s="39" t="str">
        <f t="shared" si="1"/>
        <v>Inadequate Design Capacity</v>
      </c>
      <c r="BI44" s="39" t="b">
        <f t="shared" si="2"/>
        <v>0</v>
      </c>
      <c r="BJ44">
        <f t="shared" si="3"/>
        <v>46357</v>
      </c>
      <c r="BK44" s="39" t="str">
        <f>IF(A44="","",IF(BI44&lt;&gt;TRUE(),"No specific plan",IF(ISNUMBER(BJ44),IF(BJ44&lt;'Exec Summary'!$C$4,"Resolved before Feb 2027","Resolved after Feb 2027"),"CLIENT INPUT REQUIRED")))</f>
        <v>No specific plan</v>
      </c>
    </row>
    <row r="45" spans="1:63" ht="27" customHeight="1" x14ac:dyDescent="0.25">
      <c r="A45" s="38">
        <v>42</v>
      </c>
      <c r="B45" s="38" t="s">
        <v>250</v>
      </c>
      <c r="C45" s="38" t="s">
        <v>251</v>
      </c>
      <c r="D45" s="38">
        <v>24.238962128000601</v>
      </c>
      <c r="E45" s="38">
        <v>55.7080877865072</v>
      </c>
      <c r="F45" s="38" t="s">
        <v>12</v>
      </c>
      <c r="G45" s="38" t="s">
        <v>235</v>
      </c>
      <c r="H45" s="38"/>
      <c r="I45" s="38" t="s">
        <v>170</v>
      </c>
      <c r="J45" s="38" t="s">
        <v>23</v>
      </c>
      <c r="K45" s="61" t="s">
        <v>252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7" t="s">
        <v>167</v>
      </c>
      <c r="AN45" s="49" t="s">
        <v>576</v>
      </c>
      <c r="AO45" s="37" t="s">
        <v>576</v>
      </c>
      <c r="AP45" s="50" t="s">
        <v>577</v>
      </c>
      <c r="AQ45" s="37" t="s">
        <v>167</v>
      </c>
      <c r="AR45" s="37" t="s">
        <v>596</v>
      </c>
      <c r="AS45" s="52" t="s">
        <v>582</v>
      </c>
      <c r="AT45" s="51" t="s">
        <v>583</v>
      </c>
      <c r="AU45" s="51" t="s">
        <v>576</v>
      </c>
      <c r="AV45" s="51" t="s">
        <v>576</v>
      </c>
      <c r="AW45" s="37" t="s">
        <v>597</v>
      </c>
      <c r="AX45" s="37" t="s">
        <v>597</v>
      </c>
      <c r="AY45" s="50" t="s">
        <v>580</v>
      </c>
      <c r="AZ45" s="50" t="s">
        <v>580</v>
      </c>
      <c r="BA45" s="37" t="s">
        <v>580</v>
      </c>
      <c r="BB45" s="37" t="s">
        <v>167</v>
      </c>
      <c r="BC45" s="64" t="s">
        <v>596</v>
      </c>
      <c r="BD45" s="64" t="s">
        <v>596</v>
      </c>
      <c r="BE45" s="37" t="s">
        <v>598</v>
      </c>
      <c r="BF45" s="37" t="s">
        <v>599</v>
      </c>
      <c r="BG45" s="39" t="b">
        <f t="shared" si="0"/>
        <v>1</v>
      </c>
      <c r="BH45" s="39" t="str">
        <f t="shared" si="1"/>
        <v>Inadequate Design Capacity</v>
      </c>
      <c r="BI45" s="39" t="b">
        <f t="shared" si="2"/>
        <v>0</v>
      </c>
      <c r="BJ45" t="str">
        <f t="shared" si="3"/>
        <v>CLIENT INPUT REQUIRED</v>
      </c>
      <c r="BK45" s="39" t="str">
        <f>IF(A45="","",IF(BI45&lt;&gt;TRUE(),"No specific plan",IF(ISNUMBER(BJ45),IF(BJ45&lt;'Exec Summary'!$C$4,"Resolved before Feb 2027","Resolved after Feb 2027"),"CLIENT INPUT REQUIRED")))</f>
        <v>No specific plan</v>
      </c>
    </row>
    <row r="46" spans="1:63" ht="27" customHeight="1" x14ac:dyDescent="0.25">
      <c r="A46" s="38">
        <v>43</v>
      </c>
      <c r="B46" s="38" t="s">
        <v>253</v>
      </c>
      <c r="C46" s="38" t="s">
        <v>254</v>
      </c>
      <c r="D46" s="38">
        <v>24.235229</v>
      </c>
      <c r="E46" s="38">
        <v>55.69829</v>
      </c>
      <c r="F46" s="38" t="s">
        <v>12</v>
      </c>
      <c r="G46" s="38" t="s">
        <v>235</v>
      </c>
      <c r="H46" s="38"/>
      <c r="I46" s="38" t="s">
        <v>170</v>
      </c>
      <c r="J46" s="38" t="s">
        <v>23</v>
      </c>
      <c r="K46" s="61" t="s">
        <v>255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7" t="s">
        <v>170</v>
      </c>
      <c r="AN46" s="49" t="s">
        <v>590</v>
      </c>
      <c r="AO46" s="37" t="s">
        <v>590</v>
      </c>
      <c r="AP46" s="50" t="s">
        <v>577</v>
      </c>
      <c r="AQ46" s="37" t="s">
        <v>167</v>
      </c>
      <c r="AR46" s="37" t="s">
        <v>596</v>
      </c>
      <c r="AS46" s="52" t="s">
        <v>582</v>
      </c>
      <c r="AT46" s="51" t="s">
        <v>583</v>
      </c>
      <c r="AU46" s="52" t="s">
        <v>584</v>
      </c>
      <c r="AV46" s="51" t="s">
        <v>585</v>
      </c>
      <c r="AW46" s="37" t="s">
        <v>597</v>
      </c>
      <c r="AX46" s="37" t="s">
        <v>597</v>
      </c>
      <c r="AY46" s="50" t="s">
        <v>592</v>
      </c>
      <c r="AZ46" s="50" t="s">
        <v>592</v>
      </c>
      <c r="BA46" s="37" t="s">
        <v>601</v>
      </c>
      <c r="BB46" s="37" t="s">
        <v>170</v>
      </c>
      <c r="BC46" s="64" t="s">
        <v>596</v>
      </c>
      <c r="BD46" s="64" t="s">
        <v>596</v>
      </c>
      <c r="BE46" s="37" t="s">
        <v>607</v>
      </c>
      <c r="BF46" s="37" t="s">
        <v>608</v>
      </c>
      <c r="BG46" s="39" t="b">
        <f t="shared" si="0"/>
        <v>1</v>
      </c>
      <c r="BH46" s="39" t="str">
        <f t="shared" si="1"/>
        <v>Inadequate Design Capacity</v>
      </c>
      <c r="BI46" s="39" t="b">
        <f t="shared" si="2"/>
        <v>0</v>
      </c>
      <c r="BJ46" t="str">
        <f t="shared" si="3"/>
        <v>CLIENT INPUT REQUIRED</v>
      </c>
      <c r="BK46" s="39" t="str">
        <f>IF(A46="","",IF(BI46&lt;&gt;TRUE(),"No specific plan",IF(ISNUMBER(BJ46),IF(BJ46&lt;'Exec Summary'!$C$4,"Resolved before Feb 2027","Resolved after Feb 2027"),"CLIENT INPUT REQUIRED")))</f>
        <v>No specific plan</v>
      </c>
    </row>
    <row r="47" spans="1:63" ht="27" customHeight="1" x14ac:dyDescent="0.25">
      <c r="A47" s="38">
        <v>44</v>
      </c>
      <c r="B47" s="38" t="s">
        <v>256</v>
      </c>
      <c r="C47" s="38" t="s">
        <v>257</v>
      </c>
      <c r="D47" s="38">
        <v>24.181426999999999</v>
      </c>
      <c r="E47" s="38">
        <v>55.599037000000003</v>
      </c>
      <c r="F47" s="38" t="s">
        <v>165</v>
      </c>
      <c r="G47" s="38" t="s">
        <v>166</v>
      </c>
      <c r="H47" s="38"/>
      <c r="I47" s="38" t="s">
        <v>170</v>
      </c>
      <c r="J47" s="38" t="s">
        <v>23</v>
      </c>
      <c r="K47" s="61" t="s">
        <v>258</v>
      </c>
      <c r="L47" s="38"/>
      <c r="M47" s="38"/>
      <c r="N47" s="38"/>
      <c r="O47" s="38"/>
      <c r="P47" s="38">
        <v>6</v>
      </c>
      <c r="Q47" s="38"/>
      <c r="R47" s="38"/>
      <c r="S47" s="38"/>
      <c r="T47" s="38"/>
      <c r="U47" s="38"/>
      <c r="V47" s="38"/>
      <c r="W47" s="38"/>
      <c r="X47" s="38"/>
      <c r="Y47" s="38"/>
      <c r="Z47" s="38">
        <v>30000</v>
      </c>
      <c r="AA47" s="38">
        <v>4</v>
      </c>
      <c r="AB47" s="38">
        <v>20000</v>
      </c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7" t="s">
        <v>167</v>
      </c>
      <c r="AN47" s="54" t="s">
        <v>576</v>
      </c>
      <c r="AO47" s="37" t="s">
        <v>576</v>
      </c>
      <c r="AP47" s="50" t="s">
        <v>577</v>
      </c>
      <c r="AQ47" s="37" t="s">
        <v>167</v>
      </c>
      <c r="AR47" s="37" t="s">
        <v>596</v>
      </c>
      <c r="AS47" s="52" t="s">
        <v>582</v>
      </c>
      <c r="AT47" s="51" t="s">
        <v>583</v>
      </c>
      <c r="AU47" s="51" t="s">
        <v>576</v>
      </c>
      <c r="AV47" s="51" t="s">
        <v>576</v>
      </c>
      <c r="AW47" s="37" t="s">
        <v>597</v>
      </c>
      <c r="AX47" s="37" t="s">
        <v>597</v>
      </c>
      <c r="AY47" s="55" t="s">
        <v>580</v>
      </c>
      <c r="AZ47" s="55" t="s">
        <v>580</v>
      </c>
      <c r="BA47" s="37" t="s">
        <v>580</v>
      </c>
      <c r="BB47" s="37" t="s">
        <v>167</v>
      </c>
      <c r="BC47" s="64" t="s">
        <v>596</v>
      </c>
      <c r="BD47" s="64" t="s">
        <v>596</v>
      </c>
      <c r="BE47" s="37" t="s">
        <v>598</v>
      </c>
      <c r="BF47" s="37" t="s">
        <v>599</v>
      </c>
      <c r="BG47" s="39" t="b">
        <f t="shared" si="0"/>
        <v>1</v>
      </c>
      <c r="BH47" s="39" t="str">
        <f t="shared" si="1"/>
        <v>Inadequate Design Capacity</v>
      </c>
      <c r="BI47" s="39" t="b">
        <f t="shared" si="2"/>
        <v>0</v>
      </c>
      <c r="BJ47" t="str">
        <f t="shared" si="3"/>
        <v>CLIENT INPUT REQUIRED</v>
      </c>
      <c r="BK47" s="39" t="str">
        <f>IF(A47="","",IF(BI47&lt;&gt;TRUE(),"No specific plan",IF(ISNUMBER(BJ47),IF(BJ47&lt;'Exec Summary'!$C$4,"Resolved before Feb 2027","Resolved after Feb 2027"),"CLIENT INPUT REQUIRED")))</f>
        <v>No specific plan</v>
      </c>
    </row>
    <row r="48" spans="1:63" ht="27" customHeight="1" x14ac:dyDescent="0.25">
      <c r="A48" s="38">
        <v>45</v>
      </c>
      <c r="B48" s="38" t="s">
        <v>259</v>
      </c>
      <c r="C48" s="38" t="s">
        <v>260</v>
      </c>
      <c r="D48" s="38">
        <v>24.179915999999999</v>
      </c>
      <c r="E48" s="38">
        <v>55.605125000000001</v>
      </c>
      <c r="F48" s="38" t="s">
        <v>165</v>
      </c>
      <c r="G48" s="38" t="s">
        <v>166</v>
      </c>
      <c r="H48" s="38"/>
      <c r="I48" s="38" t="s">
        <v>170</v>
      </c>
      <c r="J48" s="38" t="s">
        <v>23</v>
      </c>
      <c r="K48" s="61" t="s">
        <v>261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7" t="s">
        <v>170</v>
      </c>
      <c r="AN48" s="49" t="s">
        <v>581</v>
      </c>
      <c r="AO48" s="37" t="s">
        <v>581</v>
      </c>
      <c r="AP48" s="50" t="s">
        <v>577</v>
      </c>
      <c r="AQ48" s="37" t="s">
        <v>167</v>
      </c>
      <c r="AR48" s="37" t="s">
        <v>596</v>
      </c>
      <c r="AS48" s="52" t="s">
        <v>582</v>
      </c>
      <c r="AT48" s="51" t="s">
        <v>583</v>
      </c>
      <c r="AU48" s="52" t="s">
        <v>584</v>
      </c>
      <c r="AV48" s="51" t="s">
        <v>585</v>
      </c>
      <c r="AW48" s="37" t="s">
        <v>597</v>
      </c>
      <c r="AX48" s="37" t="s">
        <v>597</v>
      </c>
      <c r="AY48" s="53">
        <v>46388</v>
      </c>
      <c r="AZ48" s="53">
        <v>47088</v>
      </c>
      <c r="BA48" s="37" t="s">
        <v>600</v>
      </c>
      <c r="BB48" s="37" t="s">
        <v>170</v>
      </c>
      <c r="BC48" s="37" t="s">
        <v>596</v>
      </c>
      <c r="BD48" s="37" t="s">
        <v>596</v>
      </c>
      <c r="BE48" s="37" t="s">
        <v>598</v>
      </c>
      <c r="BF48" s="37" t="s">
        <v>599</v>
      </c>
      <c r="BG48" s="39" t="b">
        <f t="shared" si="0"/>
        <v>1</v>
      </c>
      <c r="BH48" s="39" t="str">
        <f t="shared" si="1"/>
        <v>Inadequate Design Capacity</v>
      </c>
      <c r="BI48" s="39" t="b">
        <f t="shared" si="2"/>
        <v>0</v>
      </c>
      <c r="BJ48">
        <f t="shared" si="3"/>
        <v>47088</v>
      </c>
      <c r="BK48" s="39" t="str">
        <f>IF(A48="","",IF(BI48&lt;&gt;TRUE(),"No specific plan",IF(ISNUMBER(BJ48),IF(BJ48&lt;'Exec Summary'!$C$4,"Resolved before Feb 2027","Resolved after Feb 2027"),"CLIENT INPUT REQUIRED")))</f>
        <v>No specific plan</v>
      </c>
    </row>
    <row r="49" spans="1:63" ht="27" customHeight="1" x14ac:dyDescent="0.25">
      <c r="A49" s="38">
        <v>46</v>
      </c>
      <c r="B49" s="38" t="s">
        <v>259</v>
      </c>
      <c r="C49" s="38" t="s">
        <v>262</v>
      </c>
      <c r="D49" s="38">
        <v>24.181131000000001</v>
      </c>
      <c r="E49" s="38">
        <v>55.613922000000002</v>
      </c>
      <c r="F49" s="38" t="s">
        <v>165</v>
      </c>
      <c r="G49" s="38" t="s">
        <v>166</v>
      </c>
      <c r="H49" s="38"/>
      <c r="I49" s="38" t="s">
        <v>170</v>
      </c>
      <c r="J49" s="38" t="s">
        <v>23</v>
      </c>
      <c r="K49" s="61" t="s">
        <v>263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7" t="s">
        <v>170</v>
      </c>
      <c r="AN49" s="49" t="s">
        <v>581</v>
      </c>
      <c r="AO49" s="37" t="s">
        <v>581</v>
      </c>
      <c r="AP49" s="50" t="s">
        <v>577</v>
      </c>
      <c r="AQ49" s="37" t="s">
        <v>167</v>
      </c>
      <c r="AR49" s="37" t="s">
        <v>596</v>
      </c>
      <c r="AS49" s="52" t="s">
        <v>582</v>
      </c>
      <c r="AT49" s="51" t="s">
        <v>583</v>
      </c>
      <c r="AU49" s="52" t="s">
        <v>584</v>
      </c>
      <c r="AV49" s="51" t="s">
        <v>585</v>
      </c>
      <c r="AW49" s="37" t="s">
        <v>597</v>
      </c>
      <c r="AX49" s="37" t="s">
        <v>597</v>
      </c>
      <c r="AY49" s="53">
        <v>46388</v>
      </c>
      <c r="AZ49" s="53">
        <v>47088</v>
      </c>
      <c r="BA49" s="37" t="s">
        <v>600</v>
      </c>
      <c r="BB49" s="37" t="s">
        <v>170</v>
      </c>
      <c r="BC49" s="37" t="s">
        <v>596</v>
      </c>
      <c r="BD49" s="37" t="s">
        <v>596</v>
      </c>
      <c r="BE49" s="37" t="s">
        <v>598</v>
      </c>
      <c r="BF49" s="37" t="s">
        <v>599</v>
      </c>
      <c r="BG49" s="39" t="b">
        <f t="shared" si="0"/>
        <v>1</v>
      </c>
      <c r="BH49" s="39" t="str">
        <f t="shared" si="1"/>
        <v>Inadequate Design Capacity</v>
      </c>
      <c r="BI49" s="39" t="b">
        <f t="shared" si="2"/>
        <v>0</v>
      </c>
      <c r="BJ49">
        <f t="shared" si="3"/>
        <v>47088</v>
      </c>
      <c r="BK49" s="39" t="str">
        <f>IF(A49="","",IF(BI49&lt;&gt;TRUE(),"No specific plan",IF(ISNUMBER(BJ49),IF(BJ49&lt;'Exec Summary'!$C$4,"Resolved before Feb 2027","Resolved after Feb 2027"),"CLIENT INPUT REQUIRED")))</f>
        <v>No specific plan</v>
      </c>
    </row>
    <row r="50" spans="1:63" ht="27" customHeight="1" x14ac:dyDescent="0.25">
      <c r="A50" s="38">
        <v>47</v>
      </c>
      <c r="B50" s="38" t="s">
        <v>264</v>
      </c>
      <c r="C50" s="38" t="s">
        <v>265</v>
      </c>
      <c r="D50" s="38">
        <v>24.189088000000002</v>
      </c>
      <c r="E50" s="38">
        <v>55.631765999999999</v>
      </c>
      <c r="F50" s="38" t="s">
        <v>165</v>
      </c>
      <c r="G50" s="38" t="s">
        <v>235</v>
      </c>
      <c r="H50" s="38"/>
      <c r="I50" s="38" t="s">
        <v>170</v>
      </c>
      <c r="J50" s="38" t="s">
        <v>23</v>
      </c>
      <c r="K50" s="61" t="s">
        <v>266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7" t="s">
        <v>170</v>
      </c>
      <c r="AN50" s="49" t="s">
        <v>581</v>
      </c>
      <c r="AO50" s="37" t="s">
        <v>581</v>
      </c>
      <c r="AP50" s="50" t="s">
        <v>577</v>
      </c>
      <c r="AQ50" s="37" t="s">
        <v>167</v>
      </c>
      <c r="AR50" s="37" t="s">
        <v>596</v>
      </c>
      <c r="AS50" s="52" t="s">
        <v>582</v>
      </c>
      <c r="AT50" s="51" t="s">
        <v>583</v>
      </c>
      <c r="AU50" s="52" t="s">
        <v>584</v>
      </c>
      <c r="AV50" s="51" t="s">
        <v>585</v>
      </c>
      <c r="AW50" s="37" t="s">
        <v>597</v>
      </c>
      <c r="AX50" s="37" t="s">
        <v>597</v>
      </c>
      <c r="AY50" s="53">
        <v>46388</v>
      </c>
      <c r="AZ50" s="53">
        <v>47088</v>
      </c>
      <c r="BA50" s="37" t="s">
        <v>600</v>
      </c>
      <c r="BB50" s="37" t="s">
        <v>170</v>
      </c>
      <c r="BC50" s="37" t="s">
        <v>596</v>
      </c>
      <c r="BD50" s="37" t="s">
        <v>596</v>
      </c>
      <c r="BE50" s="37" t="s">
        <v>598</v>
      </c>
      <c r="BF50" s="37" t="s">
        <v>599</v>
      </c>
      <c r="BG50" s="39" t="b">
        <f t="shared" si="0"/>
        <v>1</v>
      </c>
      <c r="BH50" s="39" t="str">
        <f t="shared" si="1"/>
        <v>Inadequate Design Capacity</v>
      </c>
      <c r="BI50" s="39" t="b">
        <f t="shared" si="2"/>
        <v>0</v>
      </c>
      <c r="BJ50">
        <f t="shared" si="3"/>
        <v>47088</v>
      </c>
      <c r="BK50" s="39" t="str">
        <f>IF(A50="","",IF(BI50&lt;&gt;TRUE(),"No specific plan",IF(ISNUMBER(BJ50),IF(BJ50&lt;'Exec Summary'!$C$4,"Resolved before Feb 2027","Resolved after Feb 2027"),"CLIENT INPUT REQUIRED")))</f>
        <v>No specific plan</v>
      </c>
    </row>
    <row r="51" spans="1:63" ht="27" customHeight="1" x14ac:dyDescent="0.25">
      <c r="A51" s="38">
        <v>48</v>
      </c>
      <c r="B51" s="38" t="s">
        <v>259</v>
      </c>
      <c r="C51" s="38" t="s">
        <v>267</v>
      </c>
      <c r="D51" s="38">
        <v>24.214252999999999</v>
      </c>
      <c r="E51" s="38">
        <v>55.676397999999999</v>
      </c>
      <c r="F51" s="38" t="s">
        <v>165</v>
      </c>
      <c r="G51" s="38" t="s">
        <v>166</v>
      </c>
      <c r="H51" s="38"/>
      <c r="I51" s="38" t="s">
        <v>170</v>
      </c>
      <c r="J51" s="38" t="s">
        <v>23</v>
      </c>
      <c r="K51" s="61" t="s">
        <v>268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7" t="s">
        <v>167</v>
      </c>
      <c r="AN51" s="54" t="s">
        <v>576</v>
      </c>
      <c r="AO51" s="37" t="s">
        <v>576</v>
      </c>
      <c r="AP51" s="50" t="s">
        <v>577</v>
      </c>
      <c r="AQ51" s="37" t="s">
        <v>167</v>
      </c>
      <c r="AR51" s="37" t="s">
        <v>596</v>
      </c>
      <c r="AS51" s="52" t="s">
        <v>582</v>
      </c>
      <c r="AT51" s="51" t="s">
        <v>583</v>
      </c>
      <c r="AU51" s="51" t="s">
        <v>576</v>
      </c>
      <c r="AV51" s="51" t="s">
        <v>576</v>
      </c>
      <c r="AW51" s="37" t="s">
        <v>597</v>
      </c>
      <c r="AX51" s="37" t="s">
        <v>597</v>
      </c>
      <c r="AY51" s="55" t="s">
        <v>580</v>
      </c>
      <c r="AZ51" s="55" t="s">
        <v>580</v>
      </c>
      <c r="BA51" s="37" t="s">
        <v>580</v>
      </c>
      <c r="BB51" s="37" t="s">
        <v>167</v>
      </c>
      <c r="BC51" s="37" t="s">
        <v>596</v>
      </c>
      <c r="BD51" s="37" t="s">
        <v>596</v>
      </c>
      <c r="BE51" s="37" t="s">
        <v>598</v>
      </c>
      <c r="BF51" s="37" t="s">
        <v>599</v>
      </c>
      <c r="BG51" s="39" t="b">
        <f t="shared" si="0"/>
        <v>1</v>
      </c>
      <c r="BH51" s="39" t="str">
        <f t="shared" si="1"/>
        <v>Inadequate Design Capacity</v>
      </c>
      <c r="BI51" s="39" t="b">
        <f t="shared" si="2"/>
        <v>0</v>
      </c>
      <c r="BJ51" t="str">
        <f t="shared" si="3"/>
        <v>CLIENT INPUT REQUIRED</v>
      </c>
      <c r="BK51" s="39" t="str">
        <f>IF(A51="","",IF(BI51&lt;&gt;TRUE(),"No specific plan",IF(ISNUMBER(BJ51),IF(BJ51&lt;'Exec Summary'!$C$4,"Resolved before Feb 2027","Resolved after Feb 2027"),"CLIENT INPUT REQUIRED")))</f>
        <v>No specific plan</v>
      </c>
    </row>
    <row r="52" spans="1:63" ht="27" customHeight="1" x14ac:dyDescent="0.25">
      <c r="A52" s="38">
        <v>49</v>
      </c>
      <c r="B52" s="38" t="s">
        <v>269</v>
      </c>
      <c r="C52" s="38" t="s">
        <v>270</v>
      </c>
      <c r="D52" s="38">
        <v>24.194764232772801</v>
      </c>
      <c r="E52" s="38">
        <v>55.655008773014401</v>
      </c>
      <c r="F52" s="38" t="s">
        <v>165</v>
      </c>
      <c r="G52" s="38" t="s">
        <v>235</v>
      </c>
      <c r="H52" s="38"/>
      <c r="I52" s="38" t="s">
        <v>170</v>
      </c>
      <c r="J52" s="38" t="s">
        <v>23</v>
      </c>
      <c r="K52" s="61" t="s">
        <v>271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7" t="s">
        <v>170</v>
      </c>
      <c r="AN52" s="49" t="s">
        <v>581</v>
      </c>
      <c r="AO52" s="37" t="s">
        <v>581</v>
      </c>
      <c r="AP52" s="50" t="s">
        <v>577</v>
      </c>
      <c r="AQ52" s="37" t="s">
        <v>167</v>
      </c>
      <c r="AR52" s="37" t="s">
        <v>596</v>
      </c>
      <c r="AS52" s="52" t="s">
        <v>582</v>
      </c>
      <c r="AT52" s="51" t="s">
        <v>583</v>
      </c>
      <c r="AU52" s="52" t="s">
        <v>584</v>
      </c>
      <c r="AV52" s="51" t="s">
        <v>585</v>
      </c>
      <c r="AW52" s="37" t="s">
        <v>597</v>
      </c>
      <c r="AX52" s="37" t="s">
        <v>597</v>
      </c>
      <c r="AY52" s="50" t="s">
        <v>593</v>
      </c>
      <c r="AZ52" s="50" t="s">
        <v>593</v>
      </c>
      <c r="BA52" s="37" t="s">
        <v>609</v>
      </c>
      <c r="BB52" s="37" t="s">
        <v>170</v>
      </c>
      <c r="BC52" s="37" t="s">
        <v>602</v>
      </c>
      <c r="BD52" s="37" t="s">
        <v>602</v>
      </c>
      <c r="BE52" s="37" t="s">
        <v>602</v>
      </c>
      <c r="BF52" s="37" t="s">
        <v>599</v>
      </c>
      <c r="BG52" s="39" t="b">
        <f t="shared" si="0"/>
        <v>1</v>
      </c>
      <c r="BH52" s="39" t="str">
        <f t="shared" si="1"/>
        <v>Inadequate Design Capacity</v>
      </c>
      <c r="BI52" s="39" t="b">
        <f t="shared" si="2"/>
        <v>0</v>
      </c>
      <c r="BJ52" t="str">
        <f t="shared" si="3"/>
        <v>CLIENT INPUT REQUIRED</v>
      </c>
      <c r="BK52" s="39" t="str">
        <f>IF(A52="","",IF(BI52&lt;&gt;TRUE(),"No specific plan",IF(ISNUMBER(BJ52),IF(BJ52&lt;'Exec Summary'!$C$4,"Resolved before Feb 2027","Resolved after Feb 2027"),"CLIENT INPUT REQUIRED")))</f>
        <v>No specific plan</v>
      </c>
    </row>
    <row r="53" spans="1:63" ht="27" customHeight="1" x14ac:dyDescent="0.25">
      <c r="A53" s="38">
        <v>50</v>
      </c>
      <c r="B53" s="38" t="s">
        <v>272</v>
      </c>
      <c r="C53" s="38" t="s">
        <v>273</v>
      </c>
      <c r="D53" s="38">
        <v>24.207733999999999</v>
      </c>
      <c r="E53" s="38">
        <v>55.686855000000001</v>
      </c>
      <c r="F53" s="38" t="s">
        <v>165</v>
      </c>
      <c r="G53" s="38" t="s">
        <v>235</v>
      </c>
      <c r="H53" s="38"/>
      <c r="I53" s="38" t="s">
        <v>170</v>
      </c>
      <c r="J53" s="38" t="s">
        <v>23</v>
      </c>
      <c r="K53" s="61" t="s">
        <v>274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7" t="s">
        <v>170</v>
      </c>
      <c r="AN53" s="49" t="s">
        <v>581</v>
      </c>
      <c r="AO53" s="37" t="s">
        <v>581</v>
      </c>
      <c r="AP53" s="50" t="s">
        <v>577</v>
      </c>
      <c r="AQ53" s="37" t="s">
        <v>167</v>
      </c>
      <c r="AR53" s="37" t="s">
        <v>596</v>
      </c>
      <c r="AS53" s="52" t="s">
        <v>582</v>
      </c>
      <c r="AT53" s="51" t="s">
        <v>583</v>
      </c>
      <c r="AU53" s="52" t="s">
        <v>584</v>
      </c>
      <c r="AV53" s="51" t="s">
        <v>585</v>
      </c>
      <c r="AW53" s="37" t="s">
        <v>597</v>
      </c>
      <c r="AX53" s="37" t="s">
        <v>597</v>
      </c>
      <c r="AY53" s="53">
        <v>43739</v>
      </c>
      <c r="AZ53" s="53">
        <v>44166</v>
      </c>
      <c r="BA53" s="37" t="s">
        <v>609</v>
      </c>
      <c r="BB53" s="37" t="s">
        <v>170</v>
      </c>
      <c r="BC53" s="37" t="s">
        <v>602</v>
      </c>
      <c r="BD53" s="37" t="s">
        <v>602</v>
      </c>
      <c r="BE53" s="37" t="s">
        <v>602</v>
      </c>
      <c r="BF53" s="37" t="s">
        <v>610</v>
      </c>
      <c r="BG53" s="39" t="b">
        <f t="shared" si="0"/>
        <v>1</v>
      </c>
      <c r="BH53" s="39" t="str">
        <f t="shared" si="1"/>
        <v>Inadequate Design Capacity</v>
      </c>
      <c r="BI53" s="39" t="b">
        <f t="shared" si="2"/>
        <v>0</v>
      </c>
      <c r="BJ53">
        <f t="shared" si="3"/>
        <v>44166</v>
      </c>
      <c r="BK53" s="39" t="str">
        <f>IF(A53="","",IF(BI53&lt;&gt;TRUE(),"No specific plan",IF(ISNUMBER(BJ53),IF(BJ53&lt;'Exec Summary'!$C$4,"Resolved before Feb 2027","Resolved after Feb 2027"),"CLIENT INPUT REQUIRED")))</f>
        <v>No specific plan</v>
      </c>
    </row>
    <row r="54" spans="1:63" ht="27" customHeight="1" x14ac:dyDescent="0.25">
      <c r="A54" s="38">
        <v>51</v>
      </c>
      <c r="B54" s="38" t="s">
        <v>275</v>
      </c>
      <c r="C54" s="38" t="s">
        <v>276</v>
      </c>
      <c r="D54" s="38">
        <v>24.204317</v>
      </c>
      <c r="E54" s="38" t="s">
        <v>277</v>
      </c>
      <c r="F54" s="38" t="s">
        <v>165</v>
      </c>
      <c r="G54" s="38" t="s">
        <v>166</v>
      </c>
      <c r="H54" s="38"/>
      <c r="I54" s="38" t="s">
        <v>170</v>
      </c>
      <c r="J54" s="38" t="s">
        <v>23</v>
      </c>
      <c r="K54" s="61" t="s">
        <v>278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7" t="s">
        <v>170</v>
      </c>
      <c r="AN54" s="49" t="s">
        <v>581</v>
      </c>
      <c r="AO54" s="37" t="s">
        <v>581</v>
      </c>
      <c r="AP54" s="50" t="s">
        <v>577</v>
      </c>
      <c r="AQ54" s="37" t="s">
        <v>167</v>
      </c>
      <c r="AR54" s="37" t="s">
        <v>596</v>
      </c>
      <c r="AS54" s="52" t="s">
        <v>582</v>
      </c>
      <c r="AT54" s="51" t="s">
        <v>583</v>
      </c>
      <c r="AU54" s="52" t="s">
        <v>584</v>
      </c>
      <c r="AV54" s="51" t="s">
        <v>585</v>
      </c>
      <c r="AW54" s="37" t="s">
        <v>597</v>
      </c>
      <c r="AX54" s="37" t="s">
        <v>597</v>
      </c>
      <c r="AY54" s="53">
        <v>46388</v>
      </c>
      <c r="AZ54" s="53">
        <v>47088</v>
      </c>
      <c r="BA54" s="37" t="s">
        <v>600</v>
      </c>
      <c r="BB54" s="37" t="s">
        <v>170</v>
      </c>
      <c r="BC54" s="37" t="s">
        <v>596</v>
      </c>
      <c r="BD54" s="37" t="s">
        <v>596</v>
      </c>
      <c r="BE54" s="37" t="s">
        <v>598</v>
      </c>
      <c r="BF54" s="37" t="s">
        <v>599</v>
      </c>
      <c r="BG54" s="39" t="b">
        <f t="shared" si="0"/>
        <v>1</v>
      </c>
      <c r="BH54" s="39" t="str">
        <f t="shared" si="1"/>
        <v>Inadequate Design Capacity</v>
      </c>
      <c r="BI54" s="39" t="b">
        <f t="shared" si="2"/>
        <v>0</v>
      </c>
      <c r="BJ54">
        <f t="shared" si="3"/>
        <v>47088</v>
      </c>
      <c r="BK54" s="39" t="str">
        <f>IF(A54="","",IF(BI54&lt;&gt;TRUE(),"No specific plan",IF(ISNUMBER(BJ54),IF(BJ54&lt;'Exec Summary'!$C$4,"Resolved before Feb 2027","Resolved after Feb 2027"),"CLIENT INPUT REQUIRED")))</f>
        <v>No specific plan</v>
      </c>
    </row>
    <row r="55" spans="1:63" ht="27" customHeight="1" x14ac:dyDescent="0.25">
      <c r="A55" s="38">
        <v>52</v>
      </c>
      <c r="B55" s="38" t="s">
        <v>259</v>
      </c>
      <c r="C55" s="38" t="s">
        <v>279</v>
      </c>
      <c r="D55" s="38">
        <v>24.19201</v>
      </c>
      <c r="E55" s="38">
        <v>55.676617999999998</v>
      </c>
      <c r="F55" s="38" t="s">
        <v>165</v>
      </c>
      <c r="G55" s="38" t="s">
        <v>166</v>
      </c>
      <c r="H55" s="38"/>
      <c r="I55" s="38" t="s">
        <v>170</v>
      </c>
      <c r="J55" s="38" t="s">
        <v>23</v>
      </c>
      <c r="K55" s="61" t="s">
        <v>280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7" t="s">
        <v>167</v>
      </c>
      <c r="AN55" s="54" t="s">
        <v>576</v>
      </c>
      <c r="AO55" s="37" t="s">
        <v>576</v>
      </c>
      <c r="AP55" s="50" t="s">
        <v>577</v>
      </c>
      <c r="AQ55" s="37" t="s">
        <v>167</v>
      </c>
      <c r="AR55" s="37" t="s">
        <v>596</v>
      </c>
      <c r="AS55" s="52" t="s">
        <v>582</v>
      </c>
      <c r="AT55" s="51" t="s">
        <v>583</v>
      </c>
      <c r="AU55" s="51" t="s">
        <v>576</v>
      </c>
      <c r="AV55" s="51" t="s">
        <v>576</v>
      </c>
      <c r="AW55" s="37" t="s">
        <v>597</v>
      </c>
      <c r="AX55" s="37" t="s">
        <v>597</v>
      </c>
      <c r="AY55" s="55" t="s">
        <v>580</v>
      </c>
      <c r="AZ55" s="55" t="s">
        <v>580</v>
      </c>
      <c r="BA55" s="37" t="s">
        <v>580</v>
      </c>
      <c r="BB55" s="37" t="s">
        <v>167</v>
      </c>
      <c r="BC55" s="37" t="s">
        <v>596</v>
      </c>
      <c r="BD55" s="37" t="s">
        <v>596</v>
      </c>
      <c r="BE55" s="37" t="s">
        <v>598</v>
      </c>
      <c r="BF55" s="37" t="s">
        <v>599</v>
      </c>
      <c r="BG55" s="39" t="b">
        <f t="shared" si="0"/>
        <v>1</v>
      </c>
      <c r="BH55" s="39" t="str">
        <f t="shared" si="1"/>
        <v>Inadequate Design Capacity</v>
      </c>
      <c r="BI55" s="39" t="b">
        <f t="shared" si="2"/>
        <v>0</v>
      </c>
      <c r="BJ55" t="str">
        <f t="shared" si="3"/>
        <v>CLIENT INPUT REQUIRED</v>
      </c>
      <c r="BK55" s="39" t="str">
        <f>IF(A55="","",IF(BI55&lt;&gt;TRUE(),"No specific plan",IF(ISNUMBER(BJ55),IF(BJ55&lt;'Exec Summary'!$C$4,"Resolved before Feb 2027","Resolved after Feb 2027"),"CLIENT INPUT REQUIRED")))</f>
        <v>No specific plan</v>
      </c>
    </row>
    <row r="56" spans="1:63" ht="27" customHeight="1" x14ac:dyDescent="0.25">
      <c r="A56" s="38">
        <v>53</v>
      </c>
      <c r="B56" s="38" t="s">
        <v>281</v>
      </c>
      <c r="C56" s="38" t="s">
        <v>282</v>
      </c>
      <c r="D56" s="38">
        <v>24.234725000000001</v>
      </c>
      <c r="E56" s="38">
        <v>55.737150999999997</v>
      </c>
      <c r="F56" s="38" t="s">
        <v>165</v>
      </c>
      <c r="G56" s="38" t="s">
        <v>166</v>
      </c>
      <c r="H56" s="38"/>
      <c r="I56" s="38" t="s">
        <v>170</v>
      </c>
      <c r="J56" s="38" t="s">
        <v>23</v>
      </c>
      <c r="K56" s="61" t="s">
        <v>283</v>
      </c>
      <c r="L56" s="38"/>
      <c r="M56" s="38"/>
      <c r="N56" s="38"/>
      <c r="O56" s="38"/>
      <c r="P56" s="38">
        <v>0</v>
      </c>
      <c r="Q56" s="38"/>
      <c r="R56" s="38"/>
      <c r="S56" s="38"/>
      <c r="T56" s="38"/>
      <c r="U56" s="38"/>
      <c r="V56" s="38"/>
      <c r="W56" s="38"/>
      <c r="X56" s="38"/>
      <c r="Y56" s="38"/>
      <c r="Z56" s="38">
        <v>0</v>
      </c>
      <c r="AA56" s="38">
        <v>10</v>
      </c>
      <c r="AB56" s="38">
        <v>50000</v>
      </c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7" t="s">
        <v>167</v>
      </c>
      <c r="AN56" s="49" t="s">
        <v>576</v>
      </c>
      <c r="AO56" s="37" t="s">
        <v>576</v>
      </c>
      <c r="AP56" s="50" t="s">
        <v>577</v>
      </c>
      <c r="AQ56" s="37" t="s">
        <v>167</v>
      </c>
      <c r="AR56" s="37" t="s">
        <v>596</v>
      </c>
      <c r="AS56" s="52" t="s">
        <v>582</v>
      </c>
      <c r="AT56" s="51" t="s">
        <v>583</v>
      </c>
      <c r="AU56" s="51" t="s">
        <v>576</v>
      </c>
      <c r="AV56" s="51" t="s">
        <v>576</v>
      </c>
      <c r="AW56" s="37" t="s">
        <v>597</v>
      </c>
      <c r="AX56" s="37" t="s">
        <v>597</v>
      </c>
      <c r="AY56" s="50" t="s">
        <v>580</v>
      </c>
      <c r="AZ56" s="50" t="s">
        <v>580</v>
      </c>
      <c r="BA56" s="37" t="s">
        <v>580</v>
      </c>
      <c r="BB56" s="37" t="s">
        <v>167</v>
      </c>
      <c r="BC56" s="37" t="s">
        <v>596</v>
      </c>
      <c r="BD56" s="37" t="s">
        <v>596</v>
      </c>
      <c r="BE56" s="37" t="s">
        <v>598</v>
      </c>
      <c r="BF56" s="37" t="s">
        <v>599</v>
      </c>
      <c r="BG56" s="39" t="b">
        <f t="shared" si="0"/>
        <v>1</v>
      </c>
      <c r="BH56" s="39" t="str">
        <f t="shared" si="1"/>
        <v>Inadequate Design Capacity</v>
      </c>
      <c r="BI56" s="39" t="b">
        <f t="shared" si="2"/>
        <v>0</v>
      </c>
      <c r="BJ56" t="str">
        <f t="shared" si="3"/>
        <v>CLIENT INPUT REQUIRED</v>
      </c>
      <c r="BK56" s="39" t="str">
        <f>IF(A56="","",IF(BI56&lt;&gt;TRUE(),"No specific plan",IF(ISNUMBER(BJ56),IF(BJ56&lt;'Exec Summary'!$C$4,"Resolved before Feb 2027","Resolved after Feb 2027"),"CLIENT INPUT REQUIRED")))</f>
        <v>No specific plan</v>
      </c>
    </row>
    <row r="57" spans="1:63" ht="27" customHeight="1" x14ac:dyDescent="0.25">
      <c r="A57" s="38">
        <v>54</v>
      </c>
      <c r="B57" s="38" t="s">
        <v>281</v>
      </c>
      <c r="C57" s="38" t="s">
        <v>284</v>
      </c>
      <c r="D57" s="38">
        <v>24.213087999999999</v>
      </c>
      <c r="E57" s="38">
        <v>55.737496</v>
      </c>
      <c r="F57" s="38" t="s">
        <v>165</v>
      </c>
      <c r="G57" s="38" t="s">
        <v>166</v>
      </c>
      <c r="H57" s="38"/>
      <c r="I57" s="38" t="s">
        <v>170</v>
      </c>
      <c r="J57" s="38" t="s">
        <v>23</v>
      </c>
      <c r="K57" s="61" t="s">
        <v>285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7" t="s">
        <v>167</v>
      </c>
      <c r="AN57" s="49" t="s">
        <v>576</v>
      </c>
      <c r="AO57" s="37" t="s">
        <v>576</v>
      </c>
      <c r="AP57" s="50" t="s">
        <v>577</v>
      </c>
      <c r="AQ57" s="37" t="s">
        <v>167</v>
      </c>
      <c r="AR57" s="37" t="s">
        <v>596</v>
      </c>
      <c r="AS57" s="52" t="s">
        <v>582</v>
      </c>
      <c r="AT57" s="51" t="s">
        <v>583</v>
      </c>
      <c r="AU57" s="51" t="s">
        <v>576</v>
      </c>
      <c r="AV57" s="51" t="s">
        <v>576</v>
      </c>
      <c r="AW57" s="37" t="s">
        <v>597</v>
      </c>
      <c r="AX57" s="37" t="s">
        <v>597</v>
      </c>
      <c r="AY57" s="50" t="s">
        <v>580</v>
      </c>
      <c r="AZ57" s="50" t="s">
        <v>580</v>
      </c>
      <c r="BA57" s="37" t="s">
        <v>580</v>
      </c>
      <c r="BB57" s="37" t="s">
        <v>167</v>
      </c>
      <c r="BC57" s="37" t="s">
        <v>596</v>
      </c>
      <c r="BD57" s="37" t="s">
        <v>596</v>
      </c>
      <c r="BE57" s="37" t="s">
        <v>598</v>
      </c>
      <c r="BF57" s="37" t="s">
        <v>599</v>
      </c>
      <c r="BG57" s="39" t="b">
        <f t="shared" si="0"/>
        <v>1</v>
      </c>
      <c r="BH57" s="39" t="str">
        <f t="shared" si="1"/>
        <v>Inadequate Design Capacity</v>
      </c>
      <c r="BI57" s="39" t="b">
        <f t="shared" si="2"/>
        <v>0</v>
      </c>
      <c r="BJ57" t="str">
        <f t="shared" si="3"/>
        <v>CLIENT INPUT REQUIRED</v>
      </c>
      <c r="BK57" s="39" t="str">
        <f>IF(A57="","",IF(BI57&lt;&gt;TRUE(),"No specific plan",IF(ISNUMBER(BJ57),IF(BJ57&lt;'Exec Summary'!$C$4,"Resolved before Feb 2027","Resolved after Feb 2027"),"CLIENT INPUT REQUIRED")))</f>
        <v>No specific plan</v>
      </c>
    </row>
    <row r="58" spans="1:63" ht="27" customHeight="1" x14ac:dyDescent="0.25">
      <c r="A58" s="38">
        <v>55</v>
      </c>
      <c r="B58" s="38" t="s">
        <v>281</v>
      </c>
      <c r="C58" s="38" t="s">
        <v>286</v>
      </c>
      <c r="D58" s="38">
        <v>24.224668000000001</v>
      </c>
      <c r="E58" s="38">
        <v>55.738022000000001</v>
      </c>
      <c r="F58" s="38" t="s">
        <v>165</v>
      </c>
      <c r="G58" s="38" t="s">
        <v>166</v>
      </c>
      <c r="H58" s="38"/>
      <c r="I58" s="38" t="s">
        <v>170</v>
      </c>
      <c r="J58" s="38" t="s">
        <v>23</v>
      </c>
      <c r="K58" s="61" t="s">
        <v>287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7" t="s">
        <v>170</v>
      </c>
      <c r="AN58" s="49" t="s">
        <v>589</v>
      </c>
      <c r="AO58" s="37" t="s">
        <v>589</v>
      </c>
      <c r="AP58" s="50" t="s">
        <v>577</v>
      </c>
      <c r="AQ58" s="37" t="s">
        <v>167</v>
      </c>
      <c r="AR58" s="37" t="s">
        <v>596</v>
      </c>
      <c r="AS58" s="52" t="s">
        <v>582</v>
      </c>
      <c r="AT58" s="51" t="s">
        <v>583</v>
      </c>
      <c r="AU58" s="52" t="s">
        <v>587</v>
      </c>
      <c r="AV58" s="51" t="s">
        <v>588</v>
      </c>
      <c r="AW58" s="37" t="s">
        <v>597</v>
      </c>
      <c r="AX58" s="37" t="s">
        <v>597</v>
      </c>
      <c r="AY58" s="53">
        <v>46419</v>
      </c>
      <c r="AZ58" s="53">
        <v>46753</v>
      </c>
      <c r="BA58" s="37" t="s">
        <v>600</v>
      </c>
      <c r="BB58" s="37" t="s">
        <v>170</v>
      </c>
      <c r="BC58" s="37" t="s">
        <v>596</v>
      </c>
      <c r="BD58" s="37" t="s">
        <v>596</v>
      </c>
      <c r="BE58" s="37" t="s">
        <v>598</v>
      </c>
      <c r="BF58" s="37" t="s">
        <v>599</v>
      </c>
      <c r="BG58" s="39" t="b">
        <f t="shared" si="0"/>
        <v>1</v>
      </c>
      <c r="BH58" s="39" t="str">
        <f t="shared" si="1"/>
        <v>Inadequate Design Capacity</v>
      </c>
      <c r="BI58" s="39" t="b">
        <f t="shared" si="2"/>
        <v>0</v>
      </c>
      <c r="BJ58">
        <f t="shared" si="3"/>
        <v>46753</v>
      </c>
      <c r="BK58" s="39" t="str">
        <f>IF(A58="","",IF(BI58&lt;&gt;TRUE(),"No specific plan",IF(ISNUMBER(BJ58),IF(BJ58&lt;'Exec Summary'!$C$4,"Resolved before Feb 2027","Resolved after Feb 2027"),"CLIENT INPUT REQUIRED")))</f>
        <v>No specific plan</v>
      </c>
    </row>
    <row r="59" spans="1:63" ht="27" customHeight="1" x14ac:dyDescent="0.25">
      <c r="A59" s="38">
        <v>56</v>
      </c>
      <c r="B59" s="38" t="s">
        <v>281</v>
      </c>
      <c r="C59" s="38" t="s">
        <v>288</v>
      </c>
      <c r="D59" s="38">
        <v>24.2337723850587</v>
      </c>
      <c r="E59" s="38">
        <v>55.751498044178703</v>
      </c>
      <c r="F59" s="38" t="s">
        <v>165</v>
      </c>
      <c r="G59" s="38" t="s">
        <v>166</v>
      </c>
      <c r="H59" s="38"/>
      <c r="I59" s="38" t="s">
        <v>170</v>
      </c>
      <c r="J59" s="38" t="s">
        <v>23</v>
      </c>
      <c r="K59" s="61" t="s">
        <v>289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7" t="s">
        <v>170</v>
      </c>
      <c r="AN59" s="49" t="s">
        <v>581</v>
      </c>
      <c r="AO59" s="37" t="s">
        <v>581</v>
      </c>
      <c r="AP59" s="50" t="s">
        <v>577</v>
      </c>
      <c r="AQ59" s="37" t="s">
        <v>167</v>
      </c>
      <c r="AR59" s="37" t="s">
        <v>596</v>
      </c>
      <c r="AS59" s="52" t="s">
        <v>582</v>
      </c>
      <c r="AT59" s="51" t="s">
        <v>583</v>
      </c>
      <c r="AU59" s="52" t="s">
        <v>584</v>
      </c>
      <c r="AV59" s="51" t="s">
        <v>585</v>
      </c>
      <c r="AW59" s="37" t="s">
        <v>597</v>
      </c>
      <c r="AX59" s="37" t="s">
        <v>597</v>
      </c>
      <c r="AY59" s="53">
        <v>46388</v>
      </c>
      <c r="AZ59" s="53">
        <v>46905</v>
      </c>
      <c r="BA59" s="37" t="s">
        <v>600</v>
      </c>
      <c r="BB59" s="37" t="s">
        <v>170</v>
      </c>
      <c r="BC59" s="37" t="s">
        <v>596</v>
      </c>
      <c r="BD59" s="37" t="s">
        <v>596</v>
      </c>
      <c r="BE59" s="37" t="s">
        <v>598</v>
      </c>
      <c r="BF59" s="37" t="s">
        <v>599</v>
      </c>
      <c r="BG59" s="39" t="b">
        <f t="shared" si="0"/>
        <v>1</v>
      </c>
      <c r="BH59" s="39" t="str">
        <f t="shared" si="1"/>
        <v>Inadequate Design Capacity</v>
      </c>
      <c r="BI59" s="39" t="b">
        <f t="shared" si="2"/>
        <v>0</v>
      </c>
      <c r="BJ59">
        <f t="shared" si="3"/>
        <v>46905</v>
      </c>
      <c r="BK59" s="39" t="str">
        <f>IF(A59="","",IF(BI59&lt;&gt;TRUE(),"No specific plan",IF(ISNUMBER(BJ59),IF(BJ59&lt;'Exec Summary'!$C$4,"Resolved before Feb 2027","Resolved after Feb 2027"),"CLIENT INPUT REQUIRED")))</f>
        <v>No specific plan</v>
      </c>
    </row>
    <row r="60" spans="1:63" ht="27" customHeight="1" x14ac:dyDescent="0.25">
      <c r="A60" s="38">
        <v>57</v>
      </c>
      <c r="B60" s="38" t="s">
        <v>290</v>
      </c>
      <c r="C60" s="38" t="s">
        <v>291</v>
      </c>
      <c r="D60" s="38">
        <v>24.231415999999999</v>
      </c>
      <c r="E60" s="38">
        <v>55.744002999999999</v>
      </c>
      <c r="F60" s="38" t="s">
        <v>165</v>
      </c>
      <c r="G60" s="38" t="s">
        <v>166</v>
      </c>
      <c r="H60" s="38"/>
      <c r="I60" s="38" t="s">
        <v>170</v>
      </c>
      <c r="J60" s="38" t="s">
        <v>23</v>
      </c>
      <c r="K60" s="61" t="s">
        <v>292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7" t="s">
        <v>170</v>
      </c>
      <c r="AN60" s="49" t="s">
        <v>581</v>
      </c>
      <c r="AO60" s="37" t="s">
        <v>581</v>
      </c>
      <c r="AP60" s="50" t="s">
        <v>577</v>
      </c>
      <c r="AQ60" s="37" t="s">
        <v>167</v>
      </c>
      <c r="AR60" s="37" t="s">
        <v>596</v>
      </c>
      <c r="AS60" s="52" t="s">
        <v>582</v>
      </c>
      <c r="AT60" s="51" t="s">
        <v>583</v>
      </c>
      <c r="AU60" s="52" t="s">
        <v>584</v>
      </c>
      <c r="AV60" s="51" t="s">
        <v>585</v>
      </c>
      <c r="AW60" s="37" t="s">
        <v>597</v>
      </c>
      <c r="AX60" s="37" t="s">
        <v>597</v>
      </c>
      <c r="AY60" s="53">
        <v>46388</v>
      </c>
      <c r="AZ60" s="53">
        <v>46905</v>
      </c>
      <c r="BA60" s="37" t="s">
        <v>600</v>
      </c>
      <c r="BB60" s="37" t="s">
        <v>170</v>
      </c>
      <c r="BC60" s="64" t="s">
        <v>596</v>
      </c>
      <c r="BD60" s="37" t="s">
        <v>596</v>
      </c>
      <c r="BE60" s="37" t="s">
        <v>598</v>
      </c>
      <c r="BF60" s="37" t="s">
        <v>599</v>
      </c>
      <c r="BG60" s="39" t="b">
        <f t="shared" si="0"/>
        <v>1</v>
      </c>
      <c r="BH60" s="39" t="str">
        <f t="shared" si="1"/>
        <v>Inadequate Design Capacity</v>
      </c>
      <c r="BI60" s="39" t="b">
        <f t="shared" si="2"/>
        <v>0</v>
      </c>
      <c r="BJ60">
        <f t="shared" si="3"/>
        <v>46905</v>
      </c>
      <c r="BK60" s="39" t="str">
        <f>IF(A60="","",IF(BI60&lt;&gt;TRUE(),"No specific plan",IF(ISNUMBER(BJ60),IF(BJ60&lt;'Exec Summary'!$C$4,"Resolved before Feb 2027","Resolved after Feb 2027"),"CLIENT INPUT REQUIRED")))</f>
        <v>No specific plan</v>
      </c>
    </row>
    <row r="61" spans="1:63" ht="27" customHeight="1" x14ac:dyDescent="0.25">
      <c r="A61" s="38">
        <v>58</v>
      </c>
      <c r="B61" s="38" t="s">
        <v>293</v>
      </c>
      <c r="C61" s="38" t="s">
        <v>294</v>
      </c>
      <c r="D61" s="38">
        <v>24.223991000000002</v>
      </c>
      <c r="E61" s="38">
        <v>55.734129000000003</v>
      </c>
      <c r="F61" s="38" t="s">
        <v>165</v>
      </c>
      <c r="G61" s="38" t="s">
        <v>166</v>
      </c>
      <c r="H61" s="38"/>
      <c r="I61" s="38" t="s">
        <v>170</v>
      </c>
      <c r="J61" s="38" t="s">
        <v>23</v>
      </c>
      <c r="K61" s="61" t="s">
        <v>295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7" t="s">
        <v>170</v>
      </c>
      <c r="AN61" s="49" t="s">
        <v>581</v>
      </c>
      <c r="AO61" s="37" t="s">
        <v>581</v>
      </c>
      <c r="AP61" s="50" t="s">
        <v>577</v>
      </c>
      <c r="AQ61" s="37" t="s">
        <v>167</v>
      </c>
      <c r="AR61" s="37" t="s">
        <v>596</v>
      </c>
      <c r="AS61" s="52" t="s">
        <v>582</v>
      </c>
      <c r="AT61" s="51" t="s">
        <v>583</v>
      </c>
      <c r="AU61" s="52" t="s">
        <v>584</v>
      </c>
      <c r="AV61" s="51" t="s">
        <v>585</v>
      </c>
      <c r="AW61" s="37" t="s">
        <v>597</v>
      </c>
      <c r="AX61" s="37" t="s">
        <v>597</v>
      </c>
      <c r="AY61" s="53" t="s">
        <v>593</v>
      </c>
      <c r="AZ61" s="53" t="s">
        <v>593</v>
      </c>
      <c r="BA61" s="37" t="s">
        <v>609</v>
      </c>
      <c r="BB61" s="37" t="s">
        <v>170</v>
      </c>
      <c r="BC61" s="37" t="s">
        <v>602</v>
      </c>
      <c r="BD61" s="37" t="s">
        <v>602</v>
      </c>
      <c r="BE61" s="37" t="s">
        <v>602</v>
      </c>
      <c r="BF61" s="37" t="s">
        <v>610</v>
      </c>
      <c r="BG61" s="39" t="b">
        <f t="shared" si="0"/>
        <v>1</v>
      </c>
      <c r="BH61" s="39" t="str">
        <f t="shared" si="1"/>
        <v>Inadequate Design Capacity</v>
      </c>
      <c r="BI61" s="39" t="b">
        <f t="shared" si="2"/>
        <v>0</v>
      </c>
      <c r="BJ61" t="str">
        <f t="shared" si="3"/>
        <v>CLIENT INPUT REQUIRED</v>
      </c>
      <c r="BK61" s="39" t="str">
        <f>IF(A61="","",IF(BI61&lt;&gt;TRUE(),"No specific plan",IF(ISNUMBER(BJ61),IF(BJ61&lt;'Exec Summary'!$C$4,"Resolved before Feb 2027","Resolved after Feb 2027"),"CLIENT INPUT REQUIRED")))</f>
        <v>No specific plan</v>
      </c>
    </row>
    <row r="62" spans="1:63" ht="27" customHeight="1" x14ac:dyDescent="0.25">
      <c r="A62" s="38">
        <v>59</v>
      </c>
      <c r="B62" s="38" t="s">
        <v>281</v>
      </c>
      <c r="C62" s="38" t="s">
        <v>296</v>
      </c>
      <c r="D62" s="38">
        <v>24.218630999999998</v>
      </c>
      <c r="E62" s="38">
        <v>55.734053000000003</v>
      </c>
      <c r="F62" s="38" t="s">
        <v>165</v>
      </c>
      <c r="G62" s="38" t="s">
        <v>166</v>
      </c>
      <c r="H62" s="38"/>
      <c r="I62" s="38" t="s">
        <v>170</v>
      </c>
      <c r="J62" s="38" t="s">
        <v>23</v>
      </c>
      <c r="K62" s="61" t="s">
        <v>297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7" t="s">
        <v>167</v>
      </c>
      <c r="AN62" s="49" t="s">
        <v>576</v>
      </c>
      <c r="AO62" s="37" t="s">
        <v>576</v>
      </c>
      <c r="AP62" s="50" t="s">
        <v>577</v>
      </c>
      <c r="AQ62" s="37" t="s">
        <v>167</v>
      </c>
      <c r="AR62" s="37" t="s">
        <v>596</v>
      </c>
      <c r="AS62" s="52" t="s">
        <v>582</v>
      </c>
      <c r="AT62" s="51" t="s">
        <v>583</v>
      </c>
      <c r="AU62" s="51" t="s">
        <v>576</v>
      </c>
      <c r="AV62" s="51" t="s">
        <v>576</v>
      </c>
      <c r="AW62" s="37" t="s">
        <v>597</v>
      </c>
      <c r="AX62" s="37" t="s">
        <v>597</v>
      </c>
      <c r="AY62" s="50" t="s">
        <v>580</v>
      </c>
      <c r="AZ62" s="50" t="s">
        <v>580</v>
      </c>
      <c r="BA62" s="37" t="s">
        <v>580</v>
      </c>
      <c r="BB62" s="37" t="s">
        <v>167</v>
      </c>
      <c r="BC62" s="64" t="s">
        <v>596</v>
      </c>
      <c r="BD62" s="64" t="s">
        <v>596</v>
      </c>
      <c r="BE62" s="37" t="s">
        <v>598</v>
      </c>
      <c r="BF62" s="37" t="s">
        <v>599</v>
      </c>
      <c r="BG62" s="39" t="b">
        <f t="shared" si="0"/>
        <v>1</v>
      </c>
      <c r="BH62" s="39" t="str">
        <f t="shared" si="1"/>
        <v>Inadequate Design Capacity</v>
      </c>
      <c r="BI62" s="39" t="b">
        <f t="shared" si="2"/>
        <v>0</v>
      </c>
      <c r="BJ62" t="str">
        <f t="shared" si="3"/>
        <v>CLIENT INPUT REQUIRED</v>
      </c>
      <c r="BK62" s="39" t="str">
        <f>IF(A62="","",IF(BI62&lt;&gt;TRUE(),"No specific plan",IF(ISNUMBER(BJ62),IF(BJ62&lt;'Exec Summary'!$C$4,"Resolved before Feb 2027","Resolved after Feb 2027"),"CLIENT INPUT REQUIRED")))</f>
        <v>No specific plan</v>
      </c>
    </row>
    <row r="63" spans="1:63" ht="27" customHeight="1" x14ac:dyDescent="0.25">
      <c r="A63" s="38">
        <v>60</v>
      </c>
      <c r="B63" s="38" t="s">
        <v>281</v>
      </c>
      <c r="C63" s="38" t="s">
        <v>298</v>
      </c>
      <c r="D63" s="38">
        <v>24.225989999999999</v>
      </c>
      <c r="E63" s="38">
        <v>55.736494999999998</v>
      </c>
      <c r="F63" s="38" t="s">
        <v>165</v>
      </c>
      <c r="G63" s="38" t="s">
        <v>166</v>
      </c>
      <c r="H63" s="38"/>
      <c r="I63" s="38" t="s">
        <v>170</v>
      </c>
      <c r="J63" s="38" t="s">
        <v>23</v>
      </c>
      <c r="K63" s="61" t="s">
        <v>299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7" t="s">
        <v>167</v>
      </c>
      <c r="AN63" s="49" t="s">
        <v>576</v>
      </c>
      <c r="AO63" s="37" t="s">
        <v>576</v>
      </c>
      <c r="AP63" s="50" t="s">
        <v>577</v>
      </c>
      <c r="AQ63" s="37" t="s">
        <v>167</v>
      </c>
      <c r="AR63" s="37" t="s">
        <v>596</v>
      </c>
      <c r="AS63" s="52" t="s">
        <v>582</v>
      </c>
      <c r="AT63" s="51" t="s">
        <v>583</v>
      </c>
      <c r="AU63" s="51" t="s">
        <v>576</v>
      </c>
      <c r="AV63" s="51" t="s">
        <v>576</v>
      </c>
      <c r="AW63" s="37" t="s">
        <v>597</v>
      </c>
      <c r="AX63" s="37" t="s">
        <v>597</v>
      </c>
      <c r="AY63" s="50" t="s">
        <v>580</v>
      </c>
      <c r="AZ63" s="50" t="s">
        <v>580</v>
      </c>
      <c r="BA63" s="37" t="s">
        <v>580</v>
      </c>
      <c r="BB63" s="37" t="s">
        <v>167</v>
      </c>
      <c r="BC63" s="64" t="s">
        <v>596</v>
      </c>
      <c r="BD63" s="64" t="s">
        <v>596</v>
      </c>
      <c r="BE63" s="37" t="s">
        <v>598</v>
      </c>
      <c r="BF63" s="37" t="s">
        <v>599</v>
      </c>
      <c r="BG63" s="39" t="b">
        <f t="shared" si="0"/>
        <v>1</v>
      </c>
      <c r="BH63" s="39" t="str">
        <f t="shared" si="1"/>
        <v>Inadequate Design Capacity</v>
      </c>
      <c r="BI63" s="39" t="b">
        <f t="shared" si="2"/>
        <v>0</v>
      </c>
      <c r="BJ63" t="str">
        <f t="shared" si="3"/>
        <v>CLIENT INPUT REQUIRED</v>
      </c>
      <c r="BK63" s="39" t="str">
        <f>IF(A63="","",IF(BI63&lt;&gt;TRUE(),"No specific plan",IF(ISNUMBER(BJ63),IF(BJ63&lt;'Exec Summary'!$C$4,"Resolved before Feb 2027","Resolved after Feb 2027"),"CLIENT INPUT REQUIRED")))</f>
        <v>No specific plan</v>
      </c>
    </row>
    <row r="64" spans="1:63" ht="27" customHeight="1" x14ac:dyDescent="0.25">
      <c r="A64" s="38">
        <v>61</v>
      </c>
      <c r="B64" s="38" t="s">
        <v>281</v>
      </c>
      <c r="C64" s="38" t="s">
        <v>300</v>
      </c>
      <c r="D64" s="38">
        <v>24.217804000000001</v>
      </c>
      <c r="E64" s="38">
        <v>55.745646999999998</v>
      </c>
      <c r="F64" s="38" t="s">
        <v>165</v>
      </c>
      <c r="G64" s="38" t="s">
        <v>166</v>
      </c>
      <c r="H64" s="38"/>
      <c r="I64" s="38" t="s">
        <v>167</v>
      </c>
      <c r="J64" s="38" t="s">
        <v>24</v>
      </c>
      <c r="K64" s="61" t="s">
        <v>301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7" t="s">
        <v>167</v>
      </c>
      <c r="AN64" s="49" t="s">
        <v>576</v>
      </c>
      <c r="AO64" s="37" t="s">
        <v>576</v>
      </c>
      <c r="AP64" s="50" t="s">
        <v>577</v>
      </c>
      <c r="AQ64" s="37" t="s">
        <v>167</v>
      </c>
      <c r="AR64" s="37" t="s">
        <v>596</v>
      </c>
      <c r="AS64" s="51" t="s">
        <v>578</v>
      </c>
      <c r="AT64" s="51" t="s">
        <v>579</v>
      </c>
      <c r="AU64" s="51" t="s">
        <v>576</v>
      </c>
      <c r="AV64" s="51" t="s">
        <v>576</v>
      </c>
      <c r="AW64" s="37" t="s">
        <v>597</v>
      </c>
      <c r="AX64" s="37" t="s">
        <v>597</v>
      </c>
      <c r="AY64" s="50" t="s">
        <v>580</v>
      </c>
      <c r="AZ64" s="50" t="s">
        <v>580</v>
      </c>
      <c r="BA64" s="37" t="s">
        <v>580</v>
      </c>
      <c r="BB64" s="37" t="s">
        <v>167</v>
      </c>
      <c r="BC64" s="64" t="s">
        <v>596</v>
      </c>
      <c r="BD64" s="64" t="s">
        <v>596</v>
      </c>
      <c r="BE64" s="37" t="s">
        <v>598</v>
      </c>
      <c r="BF64" s="37" t="s">
        <v>599</v>
      </c>
      <c r="BG64" s="39" t="b">
        <f t="shared" si="0"/>
        <v>1</v>
      </c>
      <c r="BH64" s="39" t="str">
        <f t="shared" si="1"/>
        <v>Absence of Drainage Network</v>
      </c>
      <c r="BI64" s="39" t="b">
        <f t="shared" si="2"/>
        <v>0</v>
      </c>
      <c r="BJ64" t="str">
        <f t="shared" si="3"/>
        <v>CLIENT INPUT REQUIRED</v>
      </c>
      <c r="BK64" s="39" t="str">
        <f>IF(A64="","",IF(BI64&lt;&gt;TRUE(),"No specific plan",IF(ISNUMBER(BJ64),IF(BJ64&lt;'Exec Summary'!$C$4,"Resolved before Feb 2027","Resolved after Feb 2027"),"CLIENT INPUT REQUIRED")))</f>
        <v>No specific plan</v>
      </c>
    </row>
    <row r="65" spans="1:63" ht="27" customHeight="1" x14ac:dyDescent="0.25">
      <c r="A65" s="38">
        <v>62</v>
      </c>
      <c r="B65" s="38" t="s">
        <v>302</v>
      </c>
      <c r="C65" s="38" t="s">
        <v>303</v>
      </c>
      <c r="D65" s="38">
        <v>24.2069586074992</v>
      </c>
      <c r="E65" s="38">
        <v>55.748212449075602</v>
      </c>
      <c r="F65" s="38" t="s">
        <v>13</v>
      </c>
      <c r="G65" s="38" t="s">
        <v>166</v>
      </c>
      <c r="H65" s="38"/>
      <c r="I65" s="38" t="s">
        <v>170</v>
      </c>
      <c r="J65" s="38" t="s">
        <v>23</v>
      </c>
      <c r="K65" s="61" t="s">
        <v>304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7" t="s">
        <v>167</v>
      </c>
      <c r="AN65" s="49" t="s">
        <v>576</v>
      </c>
      <c r="AO65" s="37" t="s">
        <v>576</v>
      </c>
      <c r="AP65" s="50" t="s">
        <v>577</v>
      </c>
      <c r="AQ65" s="37" t="s">
        <v>167</v>
      </c>
      <c r="AR65" s="37" t="s">
        <v>596</v>
      </c>
      <c r="AS65" s="52" t="s">
        <v>582</v>
      </c>
      <c r="AT65" s="51" t="s">
        <v>583</v>
      </c>
      <c r="AU65" s="51" t="s">
        <v>576</v>
      </c>
      <c r="AV65" s="51" t="s">
        <v>576</v>
      </c>
      <c r="AW65" s="37" t="s">
        <v>597</v>
      </c>
      <c r="AX65" s="37" t="s">
        <v>597</v>
      </c>
      <c r="AY65" s="50" t="s">
        <v>580</v>
      </c>
      <c r="AZ65" s="50" t="s">
        <v>580</v>
      </c>
      <c r="BA65" s="37" t="s">
        <v>580</v>
      </c>
      <c r="BB65" s="37" t="s">
        <v>167</v>
      </c>
      <c r="BC65" s="64" t="s">
        <v>596</v>
      </c>
      <c r="BD65" s="64" t="s">
        <v>596</v>
      </c>
      <c r="BE65" s="37" t="s">
        <v>598</v>
      </c>
      <c r="BF65" s="37" t="s">
        <v>599</v>
      </c>
      <c r="BG65" s="39" t="b">
        <f t="shared" si="0"/>
        <v>1</v>
      </c>
      <c r="BH65" s="39" t="str">
        <f t="shared" si="1"/>
        <v>Inadequate Design Capacity</v>
      </c>
      <c r="BI65" s="39" t="b">
        <f t="shared" si="2"/>
        <v>0</v>
      </c>
      <c r="BJ65" t="str">
        <f t="shared" si="3"/>
        <v>CLIENT INPUT REQUIRED</v>
      </c>
      <c r="BK65" s="39" t="str">
        <f>IF(A65="","",IF(BI65&lt;&gt;TRUE(),"No specific plan",IF(ISNUMBER(BJ65),IF(BJ65&lt;'Exec Summary'!$C$4,"Resolved before Feb 2027","Resolved after Feb 2027"),"CLIENT INPUT REQUIRED")))</f>
        <v>No specific plan</v>
      </c>
    </row>
    <row r="66" spans="1:63" ht="27" customHeight="1" x14ac:dyDescent="0.25">
      <c r="A66" s="38">
        <v>63</v>
      </c>
      <c r="B66" s="38" t="s">
        <v>305</v>
      </c>
      <c r="C66" s="38" t="s">
        <v>306</v>
      </c>
      <c r="D66" s="38">
        <v>24.210763</v>
      </c>
      <c r="E66" s="38">
        <v>55.710354000000002</v>
      </c>
      <c r="F66" s="38" t="s">
        <v>12</v>
      </c>
      <c r="G66" s="38" t="s">
        <v>235</v>
      </c>
      <c r="H66" s="38"/>
      <c r="I66" s="38" t="s">
        <v>170</v>
      </c>
      <c r="J66" s="38" t="s">
        <v>23</v>
      </c>
      <c r="K66" s="61" t="s">
        <v>307</v>
      </c>
      <c r="L66" s="38"/>
      <c r="M66" s="38"/>
      <c r="N66" s="38"/>
      <c r="O66" s="38"/>
      <c r="P66" s="38">
        <v>0</v>
      </c>
      <c r="Q66" s="38"/>
      <c r="R66" s="38"/>
      <c r="S66" s="38"/>
      <c r="T66" s="38"/>
      <c r="U66" s="38"/>
      <c r="V66" s="38"/>
      <c r="W66" s="38"/>
      <c r="X66" s="38"/>
      <c r="Y66" s="38"/>
      <c r="Z66" s="38">
        <v>0</v>
      </c>
      <c r="AA66" s="38">
        <v>3</v>
      </c>
      <c r="AB66" s="38">
        <v>15000</v>
      </c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7" t="s">
        <v>170</v>
      </c>
      <c r="AN66" s="49" t="s">
        <v>581</v>
      </c>
      <c r="AO66" s="37" t="s">
        <v>581</v>
      </c>
      <c r="AP66" s="50" t="s">
        <v>577</v>
      </c>
      <c r="AQ66" s="37" t="s">
        <v>167</v>
      </c>
      <c r="AR66" s="37" t="s">
        <v>596</v>
      </c>
      <c r="AS66" s="52" t="s">
        <v>582</v>
      </c>
      <c r="AT66" s="51" t="s">
        <v>583</v>
      </c>
      <c r="AU66" s="52" t="s">
        <v>584</v>
      </c>
      <c r="AV66" s="51" t="s">
        <v>585</v>
      </c>
      <c r="AW66" s="37" t="s">
        <v>597</v>
      </c>
      <c r="AX66" s="37" t="s">
        <v>597</v>
      </c>
      <c r="AY66" s="53">
        <v>45231</v>
      </c>
      <c r="AZ66" s="53">
        <v>46082</v>
      </c>
      <c r="BA66" s="37" t="s">
        <v>609</v>
      </c>
      <c r="BB66" s="37" t="s">
        <v>170</v>
      </c>
      <c r="BC66" s="53">
        <v>45231</v>
      </c>
      <c r="BD66" s="53">
        <v>46082</v>
      </c>
      <c r="BE66" s="37" t="s">
        <v>602</v>
      </c>
      <c r="BF66" s="37" t="s">
        <v>610</v>
      </c>
      <c r="BG66" s="39" t="b">
        <f t="shared" si="0"/>
        <v>1</v>
      </c>
      <c r="BH66" s="39" t="str">
        <f t="shared" si="1"/>
        <v>Inadequate Design Capacity</v>
      </c>
      <c r="BI66" s="39" t="b">
        <f t="shared" si="2"/>
        <v>0</v>
      </c>
      <c r="BJ66">
        <f t="shared" si="3"/>
        <v>46082</v>
      </c>
      <c r="BK66" s="39" t="str">
        <f>IF(A66="","",IF(BI66&lt;&gt;TRUE(),"No specific plan",IF(ISNUMBER(BJ66),IF(BJ66&lt;'Exec Summary'!$C$4,"Resolved before Feb 2027","Resolved after Feb 2027"),"CLIENT INPUT REQUIRED")))</f>
        <v>No specific plan</v>
      </c>
    </row>
    <row r="67" spans="1:63" ht="27" customHeight="1" x14ac:dyDescent="0.25">
      <c r="A67" s="38">
        <v>64</v>
      </c>
      <c r="B67" s="38" t="s">
        <v>305</v>
      </c>
      <c r="C67" s="38" t="s">
        <v>308</v>
      </c>
      <c r="D67" s="38">
        <v>24.205763000000001</v>
      </c>
      <c r="E67" s="38">
        <v>55.712884000000003</v>
      </c>
      <c r="F67" s="38" t="s">
        <v>12</v>
      </c>
      <c r="G67" s="38" t="s">
        <v>235</v>
      </c>
      <c r="H67" s="38"/>
      <c r="I67" s="38" t="s">
        <v>170</v>
      </c>
      <c r="J67" s="38" t="s">
        <v>23</v>
      </c>
      <c r="K67" s="61" t="s">
        <v>309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7" t="s">
        <v>170</v>
      </c>
      <c r="AN67" s="49" t="s">
        <v>581</v>
      </c>
      <c r="AO67" s="37" t="s">
        <v>581</v>
      </c>
      <c r="AP67" s="50" t="s">
        <v>577</v>
      </c>
      <c r="AQ67" s="37" t="s">
        <v>167</v>
      </c>
      <c r="AR67" s="37" t="s">
        <v>596</v>
      </c>
      <c r="AS67" s="52" t="s">
        <v>582</v>
      </c>
      <c r="AT67" s="51" t="s">
        <v>583</v>
      </c>
      <c r="AU67" s="52" t="s">
        <v>584</v>
      </c>
      <c r="AV67" s="51" t="s">
        <v>585</v>
      </c>
      <c r="AW67" s="37" t="s">
        <v>597</v>
      </c>
      <c r="AX67" s="37" t="s">
        <v>597</v>
      </c>
      <c r="AY67" s="53">
        <v>45231</v>
      </c>
      <c r="AZ67" s="53">
        <v>46082</v>
      </c>
      <c r="BA67" s="37" t="s">
        <v>609</v>
      </c>
      <c r="BB67" s="37" t="s">
        <v>170</v>
      </c>
      <c r="BC67" s="53">
        <v>45231</v>
      </c>
      <c r="BD67" s="53">
        <v>46082</v>
      </c>
      <c r="BE67" s="37" t="s">
        <v>602</v>
      </c>
      <c r="BF67" s="37" t="s">
        <v>610</v>
      </c>
      <c r="BG67" s="39" t="b">
        <f t="shared" si="0"/>
        <v>1</v>
      </c>
      <c r="BH67" s="39" t="str">
        <f t="shared" si="1"/>
        <v>Inadequate Design Capacity</v>
      </c>
      <c r="BI67" s="39" t="b">
        <f t="shared" si="2"/>
        <v>0</v>
      </c>
      <c r="BJ67">
        <f t="shared" si="3"/>
        <v>46082</v>
      </c>
      <c r="BK67" s="39" t="str">
        <f>IF(A67="","",IF(BI67&lt;&gt;TRUE(),"No specific plan",IF(ISNUMBER(BJ67),IF(BJ67&lt;'Exec Summary'!$C$4,"Resolved before Feb 2027","Resolved after Feb 2027"),"CLIENT INPUT REQUIRED")))</f>
        <v>No specific plan</v>
      </c>
    </row>
    <row r="68" spans="1:63" ht="27" customHeight="1" x14ac:dyDescent="0.25">
      <c r="A68" s="38">
        <v>65</v>
      </c>
      <c r="B68" s="38" t="s">
        <v>305</v>
      </c>
      <c r="C68" s="38" t="s">
        <v>310</v>
      </c>
      <c r="D68" s="38">
        <v>24.205493000000001</v>
      </c>
      <c r="E68" s="38">
        <v>55.705064</v>
      </c>
      <c r="F68" s="38" t="s">
        <v>12</v>
      </c>
      <c r="G68" s="38" t="s">
        <v>235</v>
      </c>
      <c r="H68" s="38"/>
      <c r="I68" s="38" t="s">
        <v>170</v>
      </c>
      <c r="J68" s="38" t="s">
        <v>23</v>
      </c>
      <c r="K68" s="61" t="s">
        <v>311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7" t="s">
        <v>170</v>
      </c>
      <c r="AN68" s="49" t="s">
        <v>581</v>
      </c>
      <c r="AO68" s="37" t="s">
        <v>581</v>
      </c>
      <c r="AP68" s="50" t="s">
        <v>577</v>
      </c>
      <c r="AQ68" s="37" t="s">
        <v>167</v>
      </c>
      <c r="AR68" s="37" t="s">
        <v>596</v>
      </c>
      <c r="AS68" s="52" t="s">
        <v>582</v>
      </c>
      <c r="AT68" s="51" t="s">
        <v>583</v>
      </c>
      <c r="AU68" s="52" t="s">
        <v>584</v>
      </c>
      <c r="AV68" s="51" t="s">
        <v>585</v>
      </c>
      <c r="AW68" s="37" t="s">
        <v>597</v>
      </c>
      <c r="AX68" s="37" t="s">
        <v>597</v>
      </c>
      <c r="AY68" s="50" t="s">
        <v>593</v>
      </c>
      <c r="AZ68" s="50" t="s">
        <v>593</v>
      </c>
      <c r="BA68" s="37" t="s">
        <v>609</v>
      </c>
      <c r="BB68" s="37" t="s">
        <v>170</v>
      </c>
      <c r="BC68" s="64" t="s">
        <v>602</v>
      </c>
      <c r="BD68" s="64" t="s">
        <v>602</v>
      </c>
      <c r="BE68" s="37" t="s">
        <v>602</v>
      </c>
      <c r="BF68" s="37" t="s">
        <v>610</v>
      </c>
      <c r="BG68" s="39" t="b">
        <f t="shared" ref="BG68:BG131" si="4">IF(A68="","",AND(TRIM(G68&amp;"")&lt;&gt;"",UPPER(TRIM(G68&amp;""))&lt;&gt;"NO"))</f>
        <v>1</v>
      </c>
      <c r="BH68" s="39" t="str">
        <f t="shared" ref="BH68:BH131" si="5">IF(J68="","",IF(ISNUMBER(SEARCH("absen",J68)),"Absence of Drainage Network",IF(OR(ISNUMBER(SEARCH("design",J68)),ISNUMBER(SEARCH("capacity",J68))),"Inadequate Design Capacity",IF(OR(ISNUMBER(SEARCH("upgrade",J68)),ISNUMBER(SEARCH("network",J68)),ISNUMBER(SEARCH("topog",J68)),ISNUMBER(SEARCH("road",J68))),"Topography &amp; Road Engineering","CHECK - map manually"))))</f>
        <v>Inadequate Design Capacity</v>
      </c>
      <c r="BI68" s="39" t="b">
        <f t="shared" ref="BI68:BI131" si="6">IF(A68="","",AND(UPPER(TRIM(BF68&amp;""))="IDD",OR(TRIM(AN68&amp;"")&lt;&gt;"",TRIM(AY68&amp;"")&lt;&gt;"",TRIM(AZ68&amp;"")&lt;&gt;"")))</f>
        <v>0</v>
      </c>
      <c r="BJ68" t="str">
        <f t="shared" ref="BJ68:BJ131" si="7">IF(A68="","",IF(ISNUMBER(AZ68),AZ68,"CLIENT INPUT REQUIRED"))</f>
        <v>CLIENT INPUT REQUIRED</v>
      </c>
      <c r="BK68" s="39" t="str">
        <f>IF(A68="","",IF(BI68&lt;&gt;TRUE(),"No specific plan",IF(ISNUMBER(BJ68),IF(BJ68&lt;'Exec Summary'!$C$4,"Resolved before Feb 2027","Resolved after Feb 2027"),"CLIENT INPUT REQUIRED")))</f>
        <v>No specific plan</v>
      </c>
    </row>
    <row r="69" spans="1:63" ht="27" customHeight="1" x14ac:dyDescent="0.25">
      <c r="A69" s="38">
        <v>66</v>
      </c>
      <c r="B69" s="38" t="s">
        <v>312</v>
      </c>
      <c r="C69" s="38" t="s">
        <v>313</v>
      </c>
      <c r="D69" s="38">
        <v>24.319410999999999</v>
      </c>
      <c r="E69" s="38">
        <v>55.753473999999997</v>
      </c>
      <c r="F69" s="38" t="s">
        <v>13</v>
      </c>
      <c r="G69" s="38" t="s">
        <v>235</v>
      </c>
      <c r="H69" s="38"/>
      <c r="I69" s="38" t="s">
        <v>167</v>
      </c>
      <c r="J69" s="38" t="s">
        <v>24</v>
      </c>
      <c r="K69" s="61" t="s">
        <v>314</v>
      </c>
      <c r="L69" s="38"/>
      <c r="M69" s="38"/>
      <c r="N69" s="38"/>
      <c r="O69" s="38"/>
      <c r="P69" s="38">
        <v>0</v>
      </c>
      <c r="Q69" s="38"/>
      <c r="R69" s="38"/>
      <c r="S69" s="38"/>
      <c r="T69" s="38"/>
      <c r="U69" s="38"/>
      <c r="V69" s="38"/>
      <c r="W69" s="38"/>
      <c r="X69" s="38"/>
      <c r="Y69" s="38"/>
      <c r="Z69" s="38">
        <v>0</v>
      </c>
      <c r="AA69" s="38">
        <v>1</v>
      </c>
      <c r="AB69" s="38">
        <v>5000</v>
      </c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7" t="s">
        <v>170</v>
      </c>
      <c r="AN69" s="49" t="s">
        <v>589</v>
      </c>
      <c r="AO69" s="37" t="s">
        <v>589</v>
      </c>
      <c r="AP69" s="50" t="s">
        <v>577</v>
      </c>
      <c r="AQ69" s="37" t="s">
        <v>167</v>
      </c>
      <c r="AR69" s="37" t="s">
        <v>596</v>
      </c>
      <c r="AS69" s="52" t="s">
        <v>582</v>
      </c>
      <c r="AT69" s="51" t="s">
        <v>583</v>
      </c>
      <c r="AU69" s="52" t="s">
        <v>587</v>
      </c>
      <c r="AV69" s="51" t="s">
        <v>588</v>
      </c>
      <c r="AW69" s="37" t="s">
        <v>597</v>
      </c>
      <c r="AX69" s="37" t="s">
        <v>597</v>
      </c>
      <c r="AY69" s="53">
        <v>46419</v>
      </c>
      <c r="AZ69" s="53">
        <v>46753</v>
      </c>
      <c r="BA69" s="37" t="s">
        <v>600</v>
      </c>
      <c r="BB69" s="37" t="s">
        <v>170</v>
      </c>
      <c r="BC69" s="37" t="s">
        <v>596</v>
      </c>
      <c r="BD69" s="37" t="s">
        <v>596</v>
      </c>
      <c r="BE69" s="37" t="s">
        <v>598</v>
      </c>
      <c r="BF69" s="37" t="s">
        <v>599</v>
      </c>
      <c r="BG69" s="39" t="b">
        <f t="shared" si="4"/>
        <v>1</v>
      </c>
      <c r="BH69" s="39" t="str">
        <f t="shared" si="5"/>
        <v>Absence of Drainage Network</v>
      </c>
      <c r="BI69" s="39" t="b">
        <f t="shared" si="6"/>
        <v>0</v>
      </c>
      <c r="BJ69">
        <f t="shared" si="7"/>
        <v>46753</v>
      </c>
      <c r="BK69" s="39" t="str">
        <f>IF(A69="","",IF(BI69&lt;&gt;TRUE(),"No specific plan",IF(ISNUMBER(BJ69),IF(BJ69&lt;'Exec Summary'!$C$4,"Resolved before Feb 2027","Resolved after Feb 2027"),"CLIENT INPUT REQUIRED")))</f>
        <v>No specific plan</v>
      </c>
    </row>
    <row r="70" spans="1:63" ht="27" customHeight="1" x14ac:dyDescent="0.25">
      <c r="A70" s="38">
        <v>67</v>
      </c>
      <c r="B70" s="38" t="s">
        <v>312</v>
      </c>
      <c r="C70" s="38" t="s">
        <v>315</v>
      </c>
      <c r="D70" s="38">
        <v>24.341778999999999</v>
      </c>
      <c r="E70" s="38">
        <v>55.741995000000003</v>
      </c>
      <c r="F70" s="38" t="s">
        <v>13</v>
      </c>
      <c r="G70" s="38" t="s">
        <v>235</v>
      </c>
      <c r="H70" s="38"/>
      <c r="I70" s="38" t="s">
        <v>167</v>
      </c>
      <c r="J70" s="38" t="s">
        <v>24</v>
      </c>
      <c r="K70" s="61" t="s">
        <v>316</v>
      </c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7" t="s">
        <v>170</v>
      </c>
      <c r="AN70" s="49" t="s">
        <v>586</v>
      </c>
      <c r="AO70" s="37" t="s">
        <v>586</v>
      </c>
      <c r="AP70" s="50" t="s">
        <v>577</v>
      </c>
      <c r="AQ70" s="37" t="s">
        <v>167</v>
      </c>
      <c r="AR70" s="37" t="s">
        <v>596</v>
      </c>
      <c r="AS70" s="52" t="s">
        <v>582</v>
      </c>
      <c r="AT70" s="51" t="s">
        <v>583</v>
      </c>
      <c r="AU70" s="52" t="s">
        <v>587</v>
      </c>
      <c r="AV70" s="51" t="s">
        <v>588</v>
      </c>
      <c r="AW70" s="37" t="s">
        <v>597</v>
      </c>
      <c r="AX70" s="37" t="s">
        <v>597</v>
      </c>
      <c r="AY70" s="53">
        <v>46327</v>
      </c>
      <c r="AZ70" s="53">
        <v>46722</v>
      </c>
      <c r="BA70" s="37" t="s">
        <v>600</v>
      </c>
      <c r="BB70" s="37" t="s">
        <v>170</v>
      </c>
      <c r="BC70" s="37" t="s">
        <v>596</v>
      </c>
      <c r="BD70" s="37" t="s">
        <v>596</v>
      </c>
      <c r="BE70" s="37" t="s">
        <v>598</v>
      </c>
      <c r="BF70" s="37" t="s">
        <v>599</v>
      </c>
      <c r="BG70" s="39" t="b">
        <f t="shared" si="4"/>
        <v>1</v>
      </c>
      <c r="BH70" s="39" t="str">
        <f t="shared" si="5"/>
        <v>Absence of Drainage Network</v>
      </c>
      <c r="BI70" s="39" t="b">
        <f t="shared" si="6"/>
        <v>0</v>
      </c>
      <c r="BJ70">
        <f t="shared" si="7"/>
        <v>46722</v>
      </c>
      <c r="BK70" s="39" t="str">
        <f>IF(A70="","",IF(BI70&lt;&gt;TRUE(),"No specific plan",IF(ISNUMBER(BJ70),IF(BJ70&lt;'Exec Summary'!$C$4,"Resolved before Feb 2027","Resolved after Feb 2027"),"CLIENT INPUT REQUIRED")))</f>
        <v>No specific plan</v>
      </c>
    </row>
    <row r="71" spans="1:63" ht="27" customHeight="1" x14ac:dyDescent="0.25">
      <c r="A71" s="38">
        <v>68</v>
      </c>
      <c r="B71" s="38" t="s">
        <v>317</v>
      </c>
      <c r="C71" s="38" t="s">
        <v>318</v>
      </c>
      <c r="D71" s="38">
        <v>24.265066000000001</v>
      </c>
      <c r="E71" s="38">
        <v>55.740864000000002</v>
      </c>
      <c r="F71" s="38" t="s">
        <v>165</v>
      </c>
      <c r="G71" s="38" t="s">
        <v>166</v>
      </c>
      <c r="H71" s="38"/>
      <c r="I71" s="38" t="s">
        <v>170</v>
      </c>
      <c r="J71" s="38" t="s">
        <v>23</v>
      </c>
      <c r="K71" s="61" t="s">
        <v>319</v>
      </c>
      <c r="L71" s="38"/>
      <c r="M71" s="38"/>
      <c r="N71" s="38"/>
      <c r="O71" s="38"/>
      <c r="P71" s="38">
        <v>4</v>
      </c>
      <c r="Q71" s="38"/>
      <c r="R71" s="38"/>
      <c r="S71" s="38"/>
      <c r="T71" s="38"/>
      <c r="U71" s="38"/>
      <c r="V71" s="38"/>
      <c r="W71" s="38"/>
      <c r="X71" s="38"/>
      <c r="Y71" s="38"/>
      <c r="Z71" s="38">
        <v>20000</v>
      </c>
      <c r="AA71" s="38">
        <v>2</v>
      </c>
      <c r="AB71" s="38">
        <v>10000</v>
      </c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7" t="s">
        <v>167</v>
      </c>
      <c r="AN71" s="49" t="s">
        <v>576</v>
      </c>
      <c r="AO71" s="37" t="s">
        <v>576</v>
      </c>
      <c r="AP71" s="50" t="s">
        <v>577</v>
      </c>
      <c r="AQ71" s="37" t="s">
        <v>167</v>
      </c>
      <c r="AR71" s="37" t="s">
        <v>596</v>
      </c>
      <c r="AS71" s="52" t="s">
        <v>582</v>
      </c>
      <c r="AT71" s="51" t="s">
        <v>583</v>
      </c>
      <c r="AU71" s="51" t="s">
        <v>576</v>
      </c>
      <c r="AV71" s="51" t="s">
        <v>576</v>
      </c>
      <c r="AW71" s="37" t="s">
        <v>597</v>
      </c>
      <c r="AX71" s="37" t="s">
        <v>597</v>
      </c>
      <c r="AY71" s="50" t="s">
        <v>580</v>
      </c>
      <c r="AZ71" s="50" t="s">
        <v>580</v>
      </c>
      <c r="BA71" s="37" t="s">
        <v>580</v>
      </c>
      <c r="BB71" s="37" t="s">
        <v>167</v>
      </c>
      <c r="BC71" s="37" t="s">
        <v>596</v>
      </c>
      <c r="BD71" s="37" t="s">
        <v>596</v>
      </c>
      <c r="BE71" s="37" t="s">
        <v>598</v>
      </c>
      <c r="BF71" s="37" t="s">
        <v>599</v>
      </c>
      <c r="BG71" s="39" t="b">
        <f t="shared" si="4"/>
        <v>1</v>
      </c>
      <c r="BH71" s="39" t="str">
        <f t="shared" si="5"/>
        <v>Inadequate Design Capacity</v>
      </c>
      <c r="BI71" s="39" t="b">
        <f t="shared" si="6"/>
        <v>0</v>
      </c>
      <c r="BJ71" t="str">
        <f t="shared" si="7"/>
        <v>CLIENT INPUT REQUIRED</v>
      </c>
      <c r="BK71" s="39" t="str">
        <f>IF(A71="","",IF(BI71&lt;&gt;TRUE(),"No specific plan",IF(ISNUMBER(BJ71),IF(BJ71&lt;'Exec Summary'!$C$4,"Resolved before Feb 2027","Resolved after Feb 2027"),"CLIENT INPUT REQUIRED")))</f>
        <v>No specific plan</v>
      </c>
    </row>
    <row r="72" spans="1:63" ht="27" customHeight="1" x14ac:dyDescent="0.25">
      <c r="A72" s="38">
        <v>69</v>
      </c>
      <c r="B72" s="38" t="s">
        <v>317</v>
      </c>
      <c r="C72" s="38" t="s">
        <v>318</v>
      </c>
      <c r="D72" s="38" t="s">
        <v>320</v>
      </c>
      <c r="E72" s="38" t="s">
        <v>321</v>
      </c>
      <c r="F72" s="38" t="s">
        <v>165</v>
      </c>
      <c r="G72" s="38" t="s">
        <v>166</v>
      </c>
      <c r="H72" s="38"/>
      <c r="I72" s="38" t="s">
        <v>170</v>
      </c>
      <c r="J72" s="38" t="s">
        <v>23</v>
      </c>
      <c r="K72" s="61" t="s">
        <v>319</v>
      </c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7" t="s">
        <v>167</v>
      </c>
      <c r="AN72" s="49" t="s">
        <v>576</v>
      </c>
      <c r="AO72" s="37" t="s">
        <v>576</v>
      </c>
      <c r="AP72" s="50" t="s">
        <v>577</v>
      </c>
      <c r="AQ72" s="37" t="s">
        <v>167</v>
      </c>
      <c r="AR72" s="37" t="s">
        <v>596</v>
      </c>
      <c r="AS72" s="52" t="s">
        <v>582</v>
      </c>
      <c r="AT72" s="51" t="s">
        <v>583</v>
      </c>
      <c r="AU72" s="51" t="s">
        <v>576</v>
      </c>
      <c r="AV72" s="51" t="s">
        <v>576</v>
      </c>
      <c r="AW72" s="37" t="s">
        <v>597</v>
      </c>
      <c r="AX72" s="37" t="s">
        <v>597</v>
      </c>
      <c r="AY72" s="50" t="s">
        <v>580</v>
      </c>
      <c r="AZ72" s="50" t="s">
        <v>580</v>
      </c>
      <c r="BA72" s="37" t="s">
        <v>580</v>
      </c>
      <c r="BB72" s="37" t="s">
        <v>167</v>
      </c>
      <c r="BC72" s="37" t="s">
        <v>596</v>
      </c>
      <c r="BD72" s="37" t="s">
        <v>596</v>
      </c>
      <c r="BE72" s="37" t="s">
        <v>598</v>
      </c>
      <c r="BF72" s="37" t="s">
        <v>599</v>
      </c>
      <c r="BG72" s="39" t="b">
        <f t="shared" si="4"/>
        <v>1</v>
      </c>
      <c r="BH72" s="39" t="str">
        <f t="shared" si="5"/>
        <v>Inadequate Design Capacity</v>
      </c>
      <c r="BI72" s="39" t="b">
        <f t="shared" si="6"/>
        <v>0</v>
      </c>
      <c r="BJ72" t="str">
        <f t="shared" si="7"/>
        <v>CLIENT INPUT REQUIRED</v>
      </c>
      <c r="BK72" s="39" t="str">
        <f>IF(A72="","",IF(BI72&lt;&gt;TRUE(),"No specific plan",IF(ISNUMBER(BJ72),IF(BJ72&lt;'Exec Summary'!$C$4,"Resolved before Feb 2027","Resolved after Feb 2027"),"CLIENT INPUT REQUIRED")))</f>
        <v>No specific plan</v>
      </c>
    </row>
    <row r="73" spans="1:63" ht="27" customHeight="1" x14ac:dyDescent="0.25">
      <c r="A73" s="38">
        <v>70</v>
      </c>
      <c r="B73" s="38" t="s">
        <v>317</v>
      </c>
      <c r="C73" s="38" t="s">
        <v>318</v>
      </c>
      <c r="D73" s="38" t="s">
        <v>322</v>
      </c>
      <c r="E73" s="38" t="s">
        <v>323</v>
      </c>
      <c r="F73" s="38" t="s">
        <v>165</v>
      </c>
      <c r="G73" s="38" t="s">
        <v>166</v>
      </c>
      <c r="H73" s="38"/>
      <c r="I73" s="38" t="s">
        <v>170</v>
      </c>
      <c r="J73" s="38" t="s">
        <v>23</v>
      </c>
      <c r="K73" s="61" t="s">
        <v>319</v>
      </c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7" t="s">
        <v>167</v>
      </c>
      <c r="AN73" s="49" t="s">
        <v>576</v>
      </c>
      <c r="AO73" s="37" t="s">
        <v>576</v>
      </c>
      <c r="AP73" s="50" t="s">
        <v>577</v>
      </c>
      <c r="AQ73" s="37" t="s">
        <v>167</v>
      </c>
      <c r="AR73" s="37" t="s">
        <v>596</v>
      </c>
      <c r="AS73" s="52" t="s">
        <v>582</v>
      </c>
      <c r="AT73" s="51" t="s">
        <v>583</v>
      </c>
      <c r="AU73" s="51" t="s">
        <v>576</v>
      </c>
      <c r="AV73" s="51" t="s">
        <v>576</v>
      </c>
      <c r="AW73" s="37" t="s">
        <v>597</v>
      </c>
      <c r="AX73" s="37" t="s">
        <v>597</v>
      </c>
      <c r="AY73" s="50" t="s">
        <v>580</v>
      </c>
      <c r="AZ73" s="50" t="s">
        <v>580</v>
      </c>
      <c r="BA73" s="37" t="s">
        <v>580</v>
      </c>
      <c r="BB73" s="37" t="s">
        <v>167</v>
      </c>
      <c r="BC73" s="37" t="s">
        <v>596</v>
      </c>
      <c r="BD73" s="37" t="s">
        <v>596</v>
      </c>
      <c r="BE73" s="37" t="s">
        <v>598</v>
      </c>
      <c r="BF73" s="37" t="s">
        <v>599</v>
      </c>
      <c r="BG73" s="39" t="b">
        <f t="shared" si="4"/>
        <v>1</v>
      </c>
      <c r="BH73" s="39" t="str">
        <f t="shared" si="5"/>
        <v>Inadequate Design Capacity</v>
      </c>
      <c r="BI73" s="39" t="b">
        <f t="shared" si="6"/>
        <v>0</v>
      </c>
      <c r="BJ73" t="str">
        <f t="shared" si="7"/>
        <v>CLIENT INPUT REQUIRED</v>
      </c>
      <c r="BK73" s="39" t="str">
        <f>IF(A73="","",IF(BI73&lt;&gt;TRUE(),"No specific plan",IF(ISNUMBER(BJ73),IF(BJ73&lt;'Exec Summary'!$C$4,"Resolved before Feb 2027","Resolved after Feb 2027"),"CLIENT INPUT REQUIRED")))</f>
        <v>No specific plan</v>
      </c>
    </row>
    <row r="74" spans="1:63" ht="27" customHeight="1" x14ac:dyDescent="0.25">
      <c r="A74" s="38">
        <v>71</v>
      </c>
      <c r="B74" s="38" t="s">
        <v>317</v>
      </c>
      <c r="C74" s="38" t="s">
        <v>324</v>
      </c>
      <c r="D74" s="38">
        <v>24.2716993706483</v>
      </c>
      <c r="E74" s="38">
        <v>55.755454297608402</v>
      </c>
      <c r="F74" s="38" t="s">
        <v>165</v>
      </c>
      <c r="G74" s="38" t="s">
        <v>166</v>
      </c>
      <c r="H74" s="38"/>
      <c r="I74" s="38" t="s">
        <v>170</v>
      </c>
      <c r="J74" s="38" t="s">
        <v>23</v>
      </c>
      <c r="K74" s="61" t="s">
        <v>325</v>
      </c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7" t="s">
        <v>170</v>
      </c>
      <c r="AN74" s="49" t="s">
        <v>581</v>
      </c>
      <c r="AO74" s="37" t="s">
        <v>581</v>
      </c>
      <c r="AP74" s="50" t="s">
        <v>577</v>
      </c>
      <c r="AQ74" s="37" t="s">
        <v>167</v>
      </c>
      <c r="AR74" s="37" t="s">
        <v>596</v>
      </c>
      <c r="AS74" s="52" t="s">
        <v>582</v>
      </c>
      <c r="AT74" s="51" t="s">
        <v>583</v>
      </c>
      <c r="AU74" s="52" t="s">
        <v>584</v>
      </c>
      <c r="AV74" s="51" t="s">
        <v>585</v>
      </c>
      <c r="AW74" s="37" t="s">
        <v>597</v>
      </c>
      <c r="AX74" s="37" t="s">
        <v>597</v>
      </c>
      <c r="AY74" s="53">
        <v>45231</v>
      </c>
      <c r="AZ74" s="53">
        <v>46082</v>
      </c>
      <c r="BA74" s="37" t="s">
        <v>609</v>
      </c>
      <c r="BB74" s="37" t="s">
        <v>170</v>
      </c>
      <c r="BC74" s="63">
        <v>45231</v>
      </c>
      <c r="BD74" s="63">
        <v>46082</v>
      </c>
      <c r="BE74" s="37" t="s">
        <v>602</v>
      </c>
      <c r="BF74" s="37" t="s">
        <v>610</v>
      </c>
      <c r="BG74" s="39" t="b">
        <f t="shared" si="4"/>
        <v>1</v>
      </c>
      <c r="BH74" s="39" t="str">
        <f t="shared" si="5"/>
        <v>Inadequate Design Capacity</v>
      </c>
      <c r="BI74" s="39" t="b">
        <f t="shared" si="6"/>
        <v>0</v>
      </c>
      <c r="BJ74">
        <f t="shared" si="7"/>
        <v>46082</v>
      </c>
      <c r="BK74" s="39" t="str">
        <f>IF(A74="","",IF(BI74&lt;&gt;TRUE(),"No specific plan",IF(ISNUMBER(BJ74),IF(BJ74&lt;'Exec Summary'!$C$4,"Resolved before Feb 2027","Resolved after Feb 2027"),"CLIENT INPUT REQUIRED")))</f>
        <v>No specific plan</v>
      </c>
    </row>
    <row r="75" spans="1:63" ht="27" customHeight="1" x14ac:dyDescent="0.25">
      <c r="A75" s="38">
        <v>72</v>
      </c>
      <c r="B75" s="38" t="s">
        <v>317</v>
      </c>
      <c r="C75" s="38" t="s">
        <v>326</v>
      </c>
      <c r="D75" s="38">
        <v>24.272302</v>
      </c>
      <c r="E75" s="38">
        <v>55.760297999999999</v>
      </c>
      <c r="F75" s="38" t="s">
        <v>165</v>
      </c>
      <c r="G75" s="38" t="s">
        <v>166</v>
      </c>
      <c r="H75" s="38"/>
      <c r="I75" s="38" t="s">
        <v>170</v>
      </c>
      <c r="J75" s="38" t="s">
        <v>23</v>
      </c>
      <c r="K75" s="61" t="s">
        <v>327</v>
      </c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7" t="s">
        <v>170</v>
      </c>
      <c r="AN75" s="49" t="s">
        <v>581</v>
      </c>
      <c r="AO75" s="37" t="s">
        <v>581</v>
      </c>
      <c r="AP75" s="50" t="s">
        <v>577</v>
      </c>
      <c r="AQ75" s="37" t="s">
        <v>167</v>
      </c>
      <c r="AR75" s="37" t="s">
        <v>596</v>
      </c>
      <c r="AS75" s="52" t="s">
        <v>582</v>
      </c>
      <c r="AT75" s="51" t="s">
        <v>583</v>
      </c>
      <c r="AU75" s="52" t="s">
        <v>584</v>
      </c>
      <c r="AV75" s="51" t="s">
        <v>585</v>
      </c>
      <c r="AW75" s="37" t="s">
        <v>597</v>
      </c>
      <c r="AX75" s="37" t="s">
        <v>597</v>
      </c>
      <c r="AY75" s="53">
        <v>45231</v>
      </c>
      <c r="AZ75" s="53">
        <v>46082</v>
      </c>
      <c r="BA75" s="37" t="s">
        <v>609</v>
      </c>
      <c r="BB75" s="37" t="s">
        <v>170</v>
      </c>
      <c r="BC75" s="63">
        <v>45231</v>
      </c>
      <c r="BD75" s="63">
        <v>46082</v>
      </c>
      <c r="BE75" s="37" t="s">
        <v>602</v>
      </c>
      <c r="BF75" s="37" t="s">
        <v>610</v>
      </c>
      <c r="BG75" s="39" t="b">
        <f t="shared" si="4"/>
        <v>1</v>
      </c>
      <c r="BH75" s="39" t="str">
        <f t="shared" si="5"/>
        <v>Inadequate Design Capacity</v>
      </c>
      <c r="BI75" s="39" t="b">
        <f t="shared" si="6"/>
        <v>0</v>
      </c>
      <c r="BJ75">
        <f t="shared" si="7"/>
        <v>46082</v>
      </c>
      <c r="BK75" s="39" t="str">
        <f>IF(A75="","",IF(BI75&lt;&gt;TRUE(),"No specific plan",IF(ISNUMBER(BJ75),IF(BJ75&lt;'Exec Summary'!$C$4,"Resolved before Feb 2027","Resolved after Feb 2027"),"CLIENT INPUT REQUIRED")))</f>
        <v>No specific plan</v>
      </c>
    </row>
    <row r="76" spans="1:63" ht="27" customHeight="1" x14ac:dyDescent="0.25">
      <c r="A76" s="38">
        <v>73</v>
      </c>
      <c r="B76" s="38" t="s">
        <v>317</v>
      </c>
      <c r="C76" s="38" t="s">
        <v>324</v>
      </c>
      <c r="D76" s="38">
        <v>24.271380000000001</v>
      </c>
      <c r="E76" s="38">
        <v>55.753622</v>
      </c>
      <c r="F76" s="38" t="s">
        <v>165</v>
      </c>
      <c r="G76" s="38" t="s">
        <v>166</v>
      </c>
      <c r="H76" s="38"/>
      <c r="I76" s="38" t="s">
        <v>170</v>
      </c>
      <c r="J76" s="38" t="s">
        <v>23</v>
      </c>
      <c r="K76" s="61" t="s">
        <v>325</v>
      </c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7" t="s">
        <v>170</v>
      </c>
      <c r="AN76" s="49" t="s">
        <v>581</v>
      </c>
      <c r="AO76" s="37" t="s">
        <v>581</v>
      </c>
      <c r="AP76" s="50" t="s">
        <v>577</v>
      </c>
      <c r="AQ76" s="37" t="s">
        <v>167</v>
      </c>
      <c r="AR76" s="37" t="s">
        <v>596</v>
      </c>
      <c r="AS76" s="52" t="s">
        <v>582</v>
      </c>
      <c r="AT76" s="51" t="s">
        <v>583</v>
      </c>
      <c r="AU76" s="52" t="s">
        <v>584</v>
      </c>
      <c r="AV76" s="51" t="s">
        <v>585</v>
      </c>
      <c r="AW76" s="37" t="s">
        <v>597</v>
      </c>
      <c r="AX76" s="37" t="s">
        <v>597</v>
      </c>
      <c r="AY76" s="53">
        <v>45231</v>
      </c>
      <c r="AZ76" s="53">
        <v>46082</v>
      </c>
      <c r="BA76" s="37" t="s">
        <v>609</v>
      </c>
      <c r="BB76" s="37" t="s">
        <v>170</v>
      </c>
      <c r="BC76" s="63">
        <v>45231</v>
      </c>
      <c r="BD76" s="63">
        <v>46082</v>
      </c>
      <c r="BE76" s="37" t="s">
        <v>602</v>
      </c>
      <c r="BF76" s="37" t="s">
        <v>610</v>
      </c>
      <c r="BG76" s="39" t="b">
        <f t="shared" si="4"/>
        <v>1</v>
      </c>
      <c r="BH76" s="39" t="str">
        <f t="shared" si="5"/>
        <v>Inadequate Design Capacity</v>
      </c>
      <c r="BI76" s="39" t="b">
        <f t="shared" si="6"/>
        <v>0</v>
      </c>
      <c r="BJ76">
        <f t="shared" si="7"/>
        <v>46082</v>
      </c>
      <c r="BK76" s="39" t="str">
        <f>IF(A76="","",IF(BI76&lt;&gt;TRUE(),"No specific plan",IF(ISNUMBER(BJ76),IF(BJ76&lt;'Exec Summary'!$C$4,"Resolved before Feb 2027","Resolved after Feb 2027"),"CLIENT INPUT REQUIRED")))</f>
        <v>No specific plan</v>
      </c>
    </row>
    <row r="77" spans="1:63" ht="27" customHeight="1" x14ac:dyDescent="0.25">
      <c r="A77" s="38">
        <v>74</v>
      </c>
      <c r="B77" s="38" t="s">
        <v>328</v>
      </c>
      <c r="C77" s="38" t="s">
        <v>329</v>
      </c>
      <c r="D77" s="38">
        <v>24.202705999999999</v>
      </c>
      <c r="E77" s="38">
        <v>55.775854000000002</v>
      </c>
      <c r="F77" s="38" t="s">
        <v>165</v>
      </c>
      <c r="G77" s="38" t="s">
        <v>166</v>
      </c>
      <c r="H77" s="38"/>
      <c r="I77" s="38" t="s">
        <v>167</v>
      </c>
      <c r="J77" s="38" t="s">
        <v>24</v>
      </c>
      <c r="K77" s="61" t="s">
        <v>330</v>
      </c>
      <c r="L77" s="38"/>
      <c r="M77" s="38"/>
      <c r="N77" s="38"/>
      <c r="O77" s="38"/>
      <c r="P77" s="38">
        <v>0</v>
      </c>
      <c r="Q77" s="38"/>
      <c r="R77" s="38"/>
      <c r="S77" s="38"/>
      <c r="T77" s="38"/>
      <c r="U77" s="38"/>
      <c r="V77" s="38"/>
      <c r="W77" s="38"/>
      <c r="X77" s="38"/>
      <c r="Y77" s="38"/>
      <c r="Z77" s="38">
        <v>0</v>
      </c>
      <c r="AA77" s="38">
        <v>5</v>
      </c>
      <c r="AB77" s="38">
        <v>25000</v>
      </c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7" t="s">
        <v>167</v>
      </c>
      <c r="AN77" s="49" t="s">
        <v>576</v>
      </c>
      <c r="AO77" s="37" t="s">
        <v>576</v>
      </c>
      <c r="AP77" s="50" t="s">
        <v>577</v>
      </c>
      <c r="AQ77" s="37" t="s">
        <v>167</v>
      </c>
      <c r="AR77" s="37" t="s">
        <v>596</v>
      </c>
      <c r="AS77" s="51" t="s">
        <v>578</v>
      </c>
      <c r="AT77" s="51" t="s">
        <v>579</v>
      </c>
      <c r="AU77" s="51" t="s">
        <v>576</v>
      </c>
      <c r="AV77" s="51" t="s">
        <v>576</v>
      </c>
      <c r="AW77" s="37" t="s">
        <v>597</v>
      </c>
      <c r="AX77" s="37" t="s">
        <v>597</v>
      </c>
      <c r="AY77" s="50" t="s">
        <v>580</v>
      </c>
      <c r="AZ77" s="50" t="s">
        <v>580</v>
      </c>
      <c r="BA77" s="37" t="s">
        <v>580</v>
      </c>
      <c r="BB77" s="37" t="s">
        <v>167</v>
      </c>
      <c r="BC77" s="37" t="s">
        <v>596</v>
      </c>
      <c r="BD77" s="37" t="s">
        <v>596</v>
      </c>
      <c r="BE77" s="37" t="s">
        <v>598</v>
      </c>
      <c r="BF77" s="37" t="s">
        <v>599</v>
      </c>
      <c r="BG77" s="39" t="b">
        <f t="shared" si="4"/>
        <v>1</v>
      </c>
      <c r="BH77" s="39" t="str">
        <f t="shared" si="5"/>
        <v>Absence of Drainage Network</v>
      </c>
      <c r="BI77" s="39" t="b">
        <f t="shared" si="6"/>
        <v>0</v>
      </c>
      <c r="BJ77" t="str">
        <f t="shared" si="7"/>
        <v>CLIENT INPUT REQUIRED</v>
      </c>
      <c r="BK77" s="39" t="str">
        <f>IF(A77="","",IF(BI77&lt;&gt;TRUE(),"No specific plan",IF(ISNUMBER(BJ77),IF(BJ77&lt;'Exec Summary'!$C$4,"Resolved before Feb 2027","Resolved after Feb 2027"),"CLIENT INPUT REQUIRED")))</f>
        <v>No specific plan</v>
      </c>
    </row>
    <row r="78" spans="1:63" ht="27" customHeight="1" x14ac:dyDescent="0.25">
      <c r="A78" s="38">
        <v>75</v>
      </c>
      <c r="B78" s="38" t="s">
        <v>328</v>
      </c>
      <c r="C78" s="38" t="s">
        <v>331</v>
      </c>
      <c r="D78" s="38">
        <v>24.198519000000001</v>
      </c>
      <c r="E78" s="38">
        <v>55.781495</v>
      </c>
      <c r="F78" s="38" t="s">
        <v>165</v>
      </c>
      <c r="G78" s="38" t="s">
        <v>166</v>
      </c>
      <c r="H78" s="38"/>
      <c r="I78" s="38" t="s">
        <v>170</v>
      </c>
      <c r="J78" s="38" t="s">
        <v>23</v>
      </c>
      <c r="K78" s="61" t="s">
        <v>332</v>
      </c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7" t="s">
        <v>167</v>
      </c>
      <c r="AN78" s="49" t="s">
        <v>576</v>
      </c>
      <c r="AO78" s="37" t="s">
        <v>576</v>
      </c>
      <c r="AP78" s="50" t="s">
        <v>577</v>
      </c>
      <c r="AQ78" s="37" t="s">
        <v>167</v>
      </c>
      <c r="AR78" s="37" t="s">
        <v>596</v>
      </c>
      <c r="AS78" s="52" t="s">
        <v>582</v>
      </c>
      <c r="AT78" s="51" t="s">
        <v>583</v>
      </c>
      <c r="AU78" s="51" t="s">
        <v>576</v>
      </c>
      <c r="AV78" s="51" t="s">
        <v>576</v>
      </c>
      <c r="AW78" s="37" t="s">
        <v>597</v>
      </c>
      <c r="AX78" s="37" t="s">
        <v>597</v>
      </c>
      <c r="AY78" s="50" t="s">
        <v>580</v>
      </c>
      <c r="AZ78" s="50" t="s">
        <v>580</v>
      </c>
      <c r="BA78" s="37" t="s">
        <v>580</v>
      </c>
      <c r="BB78" s="37" t="s">
        <v>167</v>
      </c>
      <c r="BC78" s="37" t="s">
        <v>596</v>
      </c>
      <c r="BD78" s="37" t="s">
        <v>596</v>
      </c>
      <c r="BE78" s="37" t="s">
        <v>598</v>
      </c>
      <c r="BF78" s="37" t="s">
        <v>599</v>
      </c>
      <c r="BG78" s="39" t="b">
        <f t="shared" si="4"/>
        <v>1</v>
      </c>
      <c r="BH78" s="39" t="str">
        <f t="shared" si="5"/>
        <v>Inadequate Design Capacity</v>
      </c>
      <c r="BI78" s="39" t="b">
        <f t="shared" si="6"/>
        <v>0</v>
      </c>
      <c r="BJ78" t="str">
        <f t="shared" si="7"/>
        <v>CLIENT INPUT REQUIRED</v>
      </c>
      <c r="BK78" s="39" t="str">
        <f>IF(A78="","",IF(BI78&lt;&gt;TRUE(),"No specific plan",IF(ISNUMBER(BJ78),IF(BJ78&lt;'Exec Summary'!$C$4,"Resolved before Feb 2027","Resolved after Feb 2027"),"CLIENT INPUT REQUIRED")))</f>
        <v>No specific plan</v>
      </c>
    </row>
    <row r="79" spans="1:63" ht="27" customHeight="1" x14ac:dyDescent="0.25">
      <c r="A79" s="38">
        <v>76</v>
      </c>
      <c r="B79" s="38" t="s">
        <v>328</v>
      </c>
      <c r="C79" s="38" t="s">
        <v>333</v>
      </c>
      <c r="D79" s="38">
        <v>24.186938061552802</v>
      </c>
      <c r="E79" s="38">
        <v>55.799176427526803</v>
      </c>
      <c r="F79" s="38" t="s">
        <v>165</v>
      </c>
      <c r="G79" s="38" t="s">
        <v>235</v>
      </c>
      <c r="H79" s="38"/>
      <c r="I79" s="38" t="s">
        <v>167</v>
      </c>
      <c r="J79" s="38" t="s">
        <v>22</v>
      </c>
      <c r="K79" s="61" t="s">
        <v>334</v>
      </c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7" t="s">
        <v>167</v>
      </c>
      <c r="AN79" s="49" t="s">
        <v>576</v>
      </c>
      <c r="AO79" s="37" t="s">
        <v>576</v>
      </c>
      <c r="AP79" s="50" t="s">
        <v>577</v>
      </c>
      <c r="AQ79" s="37" t="s">
        <v>167</v>
      </c>
      <c r="AR79" s="37" t="s">
        <v>596</v>
      </c>
      <c r="AS79" s="52" t="s">
        <v>582</v>
      </c>
      <c r="AT79" s="51" t="s">
        <v>583</v>
      </c>
      <c r="AU79" s="51" t="s">
        <v>576</v>
      </c>
      <c r="AV79" s="51" t="s">
        <v>576</v>
      </c>
      <c r="AW79" s="37" t="s">
        <v>597</v>
      </c>
      <c r="AX79" s="37" t="s">
        <v>597</v>
      </c>
      <c r="AY79" s="50" t="s">
        <v>580</v>
      </c>
      <c r="AZ79" s="50" t="s">
        <v>580</v>
      </c>
      <c r="BA79" s="37" t="s">
        <v>580</v>
      </c>
      <c r="BB79" s="37" t="s">
        <v>167</v>
      </c>
      <c r="BC79" s="37" t="s">
        <v>596</v>
      </c>
      <c r="BD79" s="37" t="s">
        <v>596</v>
      </c>
      <c r="BE79" s="37" t="s">
        <v>598</v>
      </c>
      <c r="BF79" s="37" t="s">
        <v>599</v>
      </c>
      <c r="BG79" s="39" t="b">
        <f t="shared" si="4"/>
        <v>1</v>
      </c>
      <c r="BH79" s="39" t="str">
        <f t="shared" si="5"/>
        <v>Topography &amp; Road Engineering</v>
      </c>
      <c r="BI79" s="39" t="b">
        <f t="shared" si="6"/>
        <v>0</v>
      </c>
      <c r="BJ79" t="str">
        <f t="shared" si="7"/>
        <v>CLIENT INPUT REQUIRED</v>
      </c>
      <c r="BK79" s="39" t="str">
        <f>IF(A79="","",IF(BI79&lt;&gt;TRUE(),"No specific plan",IF(ISNUMBER(BJ79),IF(BJ79&lt;'Exec Summary'!$C$4,"Resolved before Feb 2027","Resolved after Feb 2027"),"CLIENT INPUT REQUIRED")))</f>
        <v>No specific plan</v>
      </c>
    </row>
    <row r="80" spans="1:63" ht="27" customHeight="1" x14ac:dyDescent="0.25">
      <c r="A80" s="38">
        <v>77</v>
      </c>
      <c r="B80" s="38" t="s">
        <v>328</v>
      </c>
      <c r="C80" s="38" t="s">
        <v>335</v>
      </c>
      <c r="D80" s="38">
        <v>24.202029</v>
      </c>
      <c r="E80" s="38">
        <v>55.785713000000001</v>
      </c>
      <c r="F80" s="38" t="s">
        <v>165</v>
      </c>
      <c r="G80" s="38" t="s">
        <v>235</v>
      </c>
      <c r="H80" s="38"/>
      <c r="I80" s="38" t="s">
        <v>167</v>
      </c>
      <c r="J80" s="38" t="s">
        <v>22</v>
      </c>
      <c r="K80" s="61" t="s">
        <v>336</v>
      </c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7" t="s">
        <v>167</v>
      </c>
      <c r="AN80" s="49" t="s">
        <v>576</v>
      </c>
      <c r="AO80" s="37" t="s">
        <v>576</v>
      </c>
      <c r="AP80" s="50" t="s">
        <v>577</v>
      </c>
      <c r="AQ80" s="37" t="s">
        <v>167</v>
      </c>
      <c r="AR80" s="37" t="s">
        <v>596</v>
      </c>
      <c r="AS80" s="52" t="s">
        <v>582</v>
      </c>
      <c r="AT80" s="51" t="s">
        <v>583</v>
      </c>
      <c r="AU80" s="51" t="s">
        <v>576</v>
      </c>
      <c r="AV80" s="51" t="s">
        <v>576</v>
      </c>
      <c r="AW80" s="37" t="s">
        <v>597</v>
      </c>
      <c r="AX80" s="37" t="s">
        <v>597</v>
      </c>
      <c r="AY80" s="50" t="s">
        <v>580</v>
      </c>
      <c r="AZ80" s="50" t="s">
        <v>580</v>
      </c>
      <c r="BA80" s="37" t="s">
        <v>580</v>
      </c>
      <c r="BB80" s="37" t="s">
        <v>167</v>
      </c>
      <c r="BC80" s="37" t="s">
        <v>596</v>
      </c>
      <c r="BD80" s="37" t="s">
        <v>596</v>
      </c>
      <c r="BE80" s="37" t="s">
        <v>598</v>
      </c>
      <c r="BF80" s="37" t="s">
        <v>599</v>
      </c>
      <c r="BG80" s="39" t="b">
        <f t="shared" si="4"/>
        <v>1</v>
      </c>
      <c r="BH80" s="39" t="str">
        <f t="shared" si="5"/>
        <v>Topography &amp; Road Engineering</v>
      </c>
      <c r="BI80" s="39" t="b">
        <f t="shared" si="6"/>
        <v>0</v>
      </c>
      <c r="BJ80" t="str">
        <f t="shared" si="7"/>
        <v>CLIENT INPUT REQUIRED</v>
      </c>
      <c r="BK80" s="39" t="str">
        <f>IF(A80="","",IF(BI80&lt;&gt;TRUE(),"No specific plan",IF(ISNUMBER(BJ80),IF(BJ80&lt;'Exec Summary'!$C$4,"Resolved before Feb 2027","Resolved after Feb 2027"),"CLIENT INPUT REQUIRED")))</f>
        <v>No specific plan</v>
      </c>
    </row>
    <row r="81" spans="1:63" ht="27" customHeight="1" x14ac:dyDescent="0.25">
      <c r="A81" s="38">
        <v>78</v>
      </c>
      <c r="B81" s="38" t="s">
        <v>328</v>
      </c>
      <c r="C81" s="38" t="s">
        <v>337</v>
      </c>
      <c r="D81" s="38">
        <v>24.201172</v>
      </c>
      <c r="E81" s="38">
        <v>55.774411000000001</v>
      </c>
      <c r="F81" s="38" t="s">
        <v>165</v>
      </c>
      <c r="G81" s="38" t="s">
        <v>235</v>
      </c>
      <c r="H81" s="38"/>
      <c r="I81" s="38" t="s">
        <v>167</v>
      </c>
      <c r="J81" s="38" t="s">
        <v>22</v>
      </c>
      <c r="K81" s="61" t="s">
        <v>338</v>
      </c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7" t="s">
        <v>167</v>
      </c>
      <c r="AN81" s="49" t="s">
        <v>576</v>
      </c>
      <c r="AO81" s="37" t="s">
        <v>576</v>
      </c>
      <c r="AP81" s="50" t="s">
        <v>577</v>
      </c>
      <c r="AQ81" s="37" t="s">
        <v>167</v>
      </c>
      <c r="AR81" s="37" t="s">
        <v>596</v>
      </c>
      <c r="AS81" s="52" t="s">
        <v>582</v>
      </c>
      <c r="AT81" s="51" t="s">
        <v>583</v>
      </c>
      <c r="AU81" s="51" t="s">
        <v>576</v>
      </c>
      <c r="AV81" s="51" t="s">
        <v>576</v>
      </c>
      <c r="AW81" s="37" t="s">
        <v>597</v>
      </c>
      <c r="AX81" s="37" t="s">
        <v>597</v>
      </c>
      <c r="AY81" s="50" t="s">
        <v>580</v>
      </c>
      <c r="AZ81" s="50" t="s">
        <v>580</v>
      </c>
      <c r="BA81" s="37" t="s">
        <v>580</v>
      </c>
      <c r="BB81" s="37" t="s">
        <v>167</v>
      </c>
      <c r="BC81" s="37" t="s">
        <v>596</v>
      </c>
      <c r="BD81" s="37" t="s">
        <v>596</v>
      </c>
      <c r="BE81" s="37" t="s">
        <v>598</v>
      </c>
      <c r="BF81" s="37" t="s">
        <v>599</v>
      </c>
      <c r="BG81" s="39" t="b">
        <f t="shared" si="4"/>
        <v>1</v>
      </c>
      <c r="BH81" s="39" t="str">
        <f t="shared" si="5"/>
        <v>Topography &amp; Road Engineering</v>
      </c>
      <c r="BI81" s="39" t="b">
        <f t="shared" si="6"/>
        <v>0</v>
      </c>
      <c r="BJ81" t="str">
        <f t="shared" si="7"/>
        <v>CLIENT INPUT REQUIRED</v>
      </c>
      <c r="BK81" s="39" t="str">
        <f>IF(A81="","",IF(BI81&lt;&gt;TRUE(),"No specific plan",IF(ISNUMBER(BJ81),IF(BJ81&lt;'Exec Summary'!$C$4,"Resolved before Feb 2027","Resolved after Feb 2027"),"CLIENT INPUT REQUIRED")))</f>
        <v>No specific plan</v>
      </c>
    </row>
    <row r="82" spans="1:63" ht="27" customHeight="1" x14ac:dyDescent="0.25">
      <c r="A82" s="38">
        <v>79</v>
      </c>
      <c r="B82" s="38" t="s">
        <v>328</v>
      </c>
      <c r="C82" s="38" t="s">
        <v>339</v>
      </c>
      <c r="D82" s="38">
        <v>24.187429999999999</v>
      </c>
      <c r="E82" s="38">
        <v>55.807983</v>
      </c>
      <c r="F82" s="38" t="s">
        <v>165</v>
      </c>
      <c r="G82" s="38" t="s">
        <v>166</v>
      </c>
      <c r="H82" s="38"/>
      <c r="I82" s="38" t="s">
        <v>167</v>
      </c>
      <c r="J82" s="38" t="s">
        <v>22</v>
      </c>
      <c r="K82" s="61" t="s">
        <v>340</v>
      </c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7" t="s">
        <v>167</v>
      </c>
      <c r="AN82" s="49" t="s">
        <v>576</v>
      </c>
      <c r="AO82" s="37" t="s">
        <v>576</v>
      </c>
      <c r="AP82" s="50" t="s">
        <v>577</v>
      </c>
      <c r="AQ82" s="37" t="s">
        <v>167</v>
      </c>
      <c r="AR82" s="37" t="s">
        <v>596</v>
      </c>
      <c r="AS82" s="52" t="s">
        <v>582</v>
      </c>
      <c r="AT82" s="51" t="s">
        <v>583</v>
      </c>
      <c r="AU82" s="51" t="s">
        <v>576</v>
      </c>
      <c r="AV82" s="51" t="s">
        <v>576</v>
      </c>
      <c r="AW82" s="37" t="s">
        <v>597</v>
      </c>
      <c r="AX82" s="37" t="s">
        <v>597</v>
      </c>
      <c r="AY82" s="50" t="s">
        <v>580</v>
      </c>
      <c r="AZ82" s="50" t="s">
        <v>580</v>
      </c>
      <c r="BA82" s="37" t="s">
        <v>580</v>
      </c>
      <c r="BB82" s="37" t="s">
        <v>167</v>
      </c>
      <c r="BC82" s="37" t="s">
        <v>596</v>
      </c>
      <c r="BD82" s="37" t="s">
        <v>596</v>
      </c>
      <c r="BE82" s="37" t="s">
        <v>598</v>
      </c>
      <c r="BF82" s="37" t="s">
        <v>599</v>
      </c>
      <c r="BG82" s="39" t="b">
        <f t="shared" si="4"/>
        <v>1</v>
      </c>
      <c r="BH82" s="39" t="str">
        <f t="shared" si="5"/>
        <v>Topography &amp; Road Engineering</v>
      </c>
      <c r="BI82" s="39" t="b">
        <f t="shared" si="6"/>
        <v>0</v>
      </c>
      <c r="BJ82" t="str">
        <f t="shared" si="7"/>
        <v>CLIENT INPUT REQUIRED</v>
      </c>
      <c r="BK82" s="39" t="str">
        <f>IF(A82="","",IF(BI82&lt;&gt;TRUE(),"No specific plan",IF(ISNUMBER(BJ82),IF(BJ82&lt;'Exec Summary'!$C$4,"Resolved before Feb 2027","Resolved after Feb 2027"),"CLIENT INPUT REQUIRED")))</f>
        <v>No specific plan</v>
      </c>
    </row>
    <row r="83" spans="1:63" ht="27" customHeight="1" x14ac:dyDescent="0.25">
      <c r="A83" s="38">
        <v>80</v>
      </c>
      <c r="B83" s="38" t="s">
        <v>328</v>
      </c>
      <c r="C83" s="38" t="s">
        <v>335</v>
      </c>
      <c r="D83" s="38">
        <v>24.198343824608902</v>
      </c>
      <c r="E83" s="38">
        <v>55.796555178338799</v>
      </c>
      <c r="F83" s="38" t="s">
        <v>165</v>
      </c>
      <c r="G83" s="38" t="s">
        <v>166</v>
      </c>
      <c r="H83" s="38"/>
      <c r="I83" s="38" t="s">
        <v>167</v>
      </c>
      <c r="J83" s="38" t="s">
        <v>22</v>
      </c>
      <c r="K83" s="61" t="s">
        <v>336</v>
      </c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7" t="s">
        <v>167</v>
      </c>
      <c r="AN83" s="49" t="s">
        <v>576</v>
      </c>
      <c r="AO83" s="37" t="s">
        <v>576</v>
      </c>
      <c r="AP83" s="50" t="s">
        <v>577</v>
      </c>
      <c r="AQ83" s="37" t="s">
        <v>167</v>
      </c>
      <c r="AR83" s="37" t="s">
        <v>596</v>
      </c>
      <c r="AS83" s="52" t="s">
        <v>582</v>
      </c>
      <c r="AT83" s="51" t="s">
        <v>583</v>
      </c>
      <c r="AU83" s="51" t="s">
        <v>576</v>
      </c>
      <c r="AV83" s="51" t="s">
        <v>576</v>
      </c>
      <c r="AW83" s="37" t="s">
        <v>597</v>
      </c>
      <c r="AX83" s="37" t="s">
        <v>597</v>
      </c>
      <c r="AY83" s="50" t="s">
        <v>580</v>
      </c>
      <c r="AZ83" s="50" t="s">
        <v>580</v>
      </c>
      <c r="BA83" s="37" t="s">
        <v>580</v>
      </c>
      <c r="BB83" s="37" t="s">
        <v>167</v>
      </c>
      <c r="BC83" s="64" t="s">
        <v>596</v>
      </c>
      <c r="BD83" s="64" t="s">
        <v>596</v>
      </c>
      <c r="BE83" s="37" t="s">
        <v>598</v>
      </c>
      <c r="BF83" s="37" t="s">
        <v>599</v>
      </c>
      <c r="BG83" s="39" t="b">
        <f t="shared" si="4"/>
        <v>1</v>
      </c>
      <c r="BH83" s="39" t="str">
        <f t="shared" si="5"/>
        <v>Topography &amp; Road Engineering</v>
      </c>
      <c r="BI83" s="39" t="b">
        <f t="shared" si="6"/>
        <v>0</v>
      </c>
      <c r="BJ83" t="str">
        <f t="shared" si="7"/>
        <v>CLIENT INPUT REQUIRED</v>
      </c>
      <c r="BK83" s="39" t="str">
        <f>IF(A83="","",IF(BI83&lt;&gt;TRUE(),"No specific plan",IF(ISNUMBER(BJ83),IF(BJ83&lt;'Exec Summary'!$C$4,"Resolved before Feb 2027","Resolved after Feb 2027"),"CLIENT INPUT REQUIRED")))</f>
        <v>No specific plan</v>
      </c>
    </row>
    <row r="84" spans="1:63" ht="27" customHeight="1" x14ac:dyDescent="0.25">
      <c r="A84" s="38">
        <v>81</v>
      </c>
      <c r="B84" s="38" t="s">
        <v>328</v>
      </c>
      <c r="C84" s="38" t="s">
        <v>341</v>
      </c>
      <c r="D84" s="38">
        <v>24.179089295129099</v>
      </c>
      <c r="E84" s="38">
        <v>55.796017893401697</v>
      </c>
      <c r="F84" s="38" t="s">
        <v>165</v>
      </c>
      <c r="G84" s="38" t="s">
        <v>166</v>
      </c>
      <c r="H84" s="38"/>
      <c r="I84" s="38" t="s">
        <v>167</v>
      </c>
      <c r="J84" s="38" t="s">
        <v>22</v>
      </c>
      <c r="K84" s="61" t="s">
        <v>342</v>
      </c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7" t="s">
        <v>167</v>
      </c>
      <c r="AN84" s="49" t="s">
        <v>576</v>
      </c>
      <c r="AO84" s="37" t="s">
        <v>576</v>
      </c>
      <c r="AP84" s="50" t="s">
        <v>577</v>
      </c>
      <c r="AQ84" s="37" t="s">
        <v>167</v>
      </c>
      <c r="AR84" s="37" t="s">
        <v>596</v>
      </c>
      <c r="AS84" s="52" t="s">
        <v>582</v>
      </c>
      <c r="AT84" s="51" t="s">
        <v>583</v>
      </c>
      <c r="AU84" s="51" t="s">
        <v>576</v>
      </c>
      <c r="AV84" s="51" t="s">
        <v>576</v>
      </c>
      <c r="AW84" s="37" t="s">
        <v>597</v>
      </c>
      <c r="AX84" s="37" t="s">
        <v>597</v>
      </c>
      <c r="AY84" s="50" t="s">
        <v>580</v>
      </c>
      <c r="AZ84" s="50" t="s">
        <v>580</v>
      </c>
      <c r="BA84" s="37" t="s">
        <v>580</v>
      </c>
      <c r="BB84" s="37" t="s">
        <v>167</v>
      </c>
      <c r="BC84" s="37" t="s">
        <v>596</v>
      </c>
      <c r="BD84" s="37" t="s">
        <v>596</v>
      </c>
      <c r="BE84" s="37" t="s">
        <v>598</v>
      </c>
      <c r="BF84" s="37" t="s">
        <v>599</v>
      </c>
      <c r="BG84" s="39" t="b">
        <f t="shared" si="4"/>
        <v>1</v>
      </c>
      <c r="BH84" s="39" t="str">
        <f t="shared" si="5"/>
        <v>Topography &amp; Road Engineering</v>
      </c>
      <c r="BI84" s="39" t="b">
        <f t="shared" si="6"/>
        <v>0</v>
      </c>
      <c r="BJ84" t="str">
        <f t="shared" si="7"/>
        <v>CLIENT INPUT REQUIRED</v>
      </c>
      <c r="BK84" s="39" t="str">
        <f>IF(A84="","",IF(BI84&lt;&gt;TRUE(),"No specific plan",IF(ISNUMBER(BJ84),IF(BJ84&lt;'Exec Summary'!$C$4,"Resolved before Feb 2027","Resolved after Feb 2027"),"CLIENT INPUT REQUIRED")))</f>
        <v>No specific plan</v>
      </c>
    </row>
    <row r="85" spans="1:63" ht="27" customHeight="1" x14ac:dyDescent="0.25">
      <c r="A85" s="38">
        <v>82</v>
      </c>
      <c r="B85" s="38" t="s">
        <v>328</v>
      </c>
      <c r="C85" s="38" t="s">
        <v>337</v>
      </c>
      <c r="D85" s="38">
        <v>24.206211</v>
      </c>
      <c r="E85" s="38">
        <v>55.782024</v>
      </c>
      <c r="F85" s="38" t="s">
        <v>165</v>
      </c>
      <c r="G85" s="38" t="s">
        <v>235</v>
      </c>
      <c r="H85" s="38"/>
      <c r="I85" s="38" t="s">
        <v>167</v>
      </c>
      <c r="J85" s="38" t="s">
        <v>22</v>
      </c>
      <c r="K85" s="61" t="s">
        <v>338</v>
      </c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7" t="s">
        <v>170</v>
      </c>
      <c r="AN85" s="49" t="s">
        <v>589</v>
      </c>
      <c r="AO85" s="37" t="s">
        <v>589</v>
      </c>
      <c r="AP85" s="50" t="s">
        <v>577</v>
      </c>
      <c r="AQ85" s="37" t="s">
        <v>167</v>
      </c>
      <c r="AR85" s="37" t="s">
        <v>596</v>
      </c>
      <c r="AS85" s="52" t="s">
        <v>582</v>
      </c>
      <c r="AT85" s="51" t="s">
        <v>583</v>
      </c>
      <c r="AU85" s="52" t="s">
        <v>587</v>
      </c>
      <c r="AV85" s="51" t="s">
        <v>588</v>
      </c>
      <c r="AW85" s="37" t="s">
        <v>597</v>
      </c>
      <c r="AX85" s="37" t="s">
        <v>597</v>
      </c>
      <c r="AY85" s="53">
        <v>46419</v>
      </c>
      <c r="AZ85" s="53">
        <v>46783</v>
      </c>
      <c r="BA85" s="37" t="s">
        <v>600</v>
      </c>
      <c r="BB85" s="37" t="s">
        <v>170</v>
      </c>
      <c r="BC85" s="37" t="s">
        <v>596</v>
      </c>
      <c r="BD85" s="37" t="s">
        <v>596</v>
      </c>
      <c r="BE85" s="37" t="s">
        <v>598</v>
      </c>
      <c r="BF85" s="37" t="s">
        <v>599</v>
      </c>
      <c r="BG85" s="39" t="b">
        <f t="shared" si="4"/>
        <v>1</v>
      </c>
      <c r="BH85" s="39" t="str">
        <f t="shared" si="5"/>
        <v>Topography &amp; Road Engineering</v>
      </c>
      <c r="BI85" s="39" t="b">
        <f t="shared" si="6"/>
        <v>0</v>
      </c>
      <c r="BJ85">
        <f t="shared" si="7"/>
        <v>46783</v>
      </c>
      <c r="BK85" s="39" t="str">
        <f>IF(A85="","",IF(BI85&lt;&gt;TRUE(),"No specific plan",IF(ISNUMBER(BJ85),IF(BJ85&lt;'Exec Summary'!$C$4,"Resolved before Feb 2027","Resolved after Feb 2027"),"CLIENT INPUT REQUIRED")))</f>
        <v>No specific plan</v>
      </c>
    </row>
    <row r="86" spans="1:63" ht="27" customHeight="1" x14ac:dyDescent="0.25">
      <c r="A86" s="38">
        <v>83</v>
      </c>
      <c r="B86" s="38" t="s">
        <v>328</v>
      </c>
      <c r="C86" s="38" t="s">
        <v>343</v>
      </c>
      <c r="D86" s="38">
        <v>24.110738000000001</v>
      </c>
      <c r="E86" s="38">
        <v>55.825569999999999</v>
      </c>
      <c r="F86" s="38" t="s">
        <v>165</v>
      </c>
      <c r="G86" s="38" t="s">
        <v>166</v>
      </c>
      <c r="H86" s="38"/>
      <c r="I86" s="38" t="s">
        <v>167</v>
      </c>
      <c r="J86" s="38" t="s">
        <v>22</v>
      </c>
      <c r="K86" s="61" t="s">
        <v>344</v>
      </c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7" t="s">
        <v>170</v>
      </c>
      <c r="AN86" s="49" t="s">
        <v>590</v>
      </c>
      <c r="AO86" s="37" t="s">
        <v>590</v>
      </c>
      <c r="AP86" s="50" t="s">
        <v>577</v>
      </c>
      <c r="AQ86" s="37" t="s">
        <v>167</v>
      </c>
      <c r="AR86" s="37" t="s">
        <v>596</v>
      </c>
      <c r="AS86" s="52" t="s">
        <v>582</v>
      </c>
      <c r="AT86" s="51" t="s">
        <v>583</v>
      </c>
      <c r="AU86" s="52" t="s">
        <v>584</v>
      </c>
      <c r="AV86" s="51" t="s">
        <v>585</v>
      </c>
      <c r="AW86" s="37" t="s">
        <v>597</v>
      </c>
      <c r="AX86" s="37" t="s">
        <v>597</v>
      </c>
      <c r="AY86" s="50" t="s">
        <v>592</v>
      </c>
      <c r="AZ86" s="50" t="s">
        <v>592</v>
      </c>
      <c r="BA86" s="37" t="s">
        <v>600</v>
      </c>
      <c r="BB86" s="37" t="s">
        <v>170</v>
      </c>
      <c r="BC86" s="37" t="s">
        <v>596</v>
      </c>
      <c r="BD86" s="37" t="s">
        <v>596</v>
      </c>
      <c r="BE86" s="37" t="s">
        <v>605</v>
      </c>
      <c r="BF86" s="37" t="s">
        <v>608</v>
      </c>
      <c r="BG86" s="39" t="b">
        <f t="shared" si="4"/>
        <v>1</v>
      </c>
      <c r="BH86" s="39" t="str">
        <f t="shared" si="5"/>
        <v>Topography &amp; Road Engineering</v>
      </c>
      <c r="BI86" s="39" t="b">
        <f t="shared" si="6"/>
        <v>0</v>
      </c>
      <c r="BJ86" t="str">
        <f t="shared" si="7"/>
        <v>CLIENT INPUT REQUIRED</v>
      </c>
      <c r="BK86" s="39" t="str">
        <f>IF(A86="","",IF(BI86&lt;&gt;TRUE(),"No specific plan",IF(ISNUMBER(BJ86),IF(BJ86&lt;'Exec Summary'!$C$4,"Resolved before Feb 2027","Resolved after Feb 2027"),"CLIENT INPUT REQUIRED")))</f>
        <v>No specific plan</v>
      </c>
    </row>
    <row r="87" spans="1:63" ht="27" customHeight="1" x14ac:dyDescent="0.25">
      <c r="A87" s="38">
        <v>84</v>
      </c>
      <c r="B87" s="38" t="s">
        <v>328</v>
      </c>
      <c r="C87" s="38" t="s">
        <v>345</v>
      </c>
      <c r="D87" s="38">
        <v>24.123337894183599</v>
      </c>
      <c r="E87" s="38">
        <v>55.822417213740302</v>
      </c>
      <c r="F87" s="38" t="s">
        <v>165</v>
      </c>
      <c r="G87" s="38" t="s">
        <v>235</v>
      </c>
      <c r="H87" s="38"/>
      <c r="I87" s="38" t="s">
        <v>167</v>
      </c>
      <c r="J87" s="38" t="s">
        <v>22</v>
      </c>
      <c r="K87" s="61" t="s">
        <v>346</v>
      </c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7" t="s">
        <v>170</v>
      </c>
      <c r="AN87" s="49" t="s">
        <v>590</v>
      </c>
      <c r="AO87" s="37" t="s">
        <v>590</v>
      </c>
      <c r="AP87" s="50" t="s">
        <v>577</v>
      </c>
      <c r="AQ87" s="37" t="s">
        <v>167</v>
      </c>
      <c r="AR87" s="37" t="s">
        <v>596</v>
      </c>
      <c r="AS87" s="52" t="s">
        <v>582</v>
      </c>
      <c r="AT87" s="51" t="s">
        <v>583</v>
      </c>
      <c r="AU87" s="52" t="s">
        <v>584</v>
      </c>
      <c r="AV87" s="51" t="s">
        <v>585</v>
      </c>
      <c r="AW87" s="37" t="s">
        <v>597</v>
      </c>
      <c r="AX87" s="37" t="s">
        <v>597</v>
      </c>
      <c r="AY87" s="50" t="s">
        <v>592</v>
      </c>
      <c r="AZ87" s="50" t="s">
        <v>592</v>
      </c>
      <c r="BA87" s="37" t="s">
        <v>601</v>
      </c>
      <c r="BB87" s="37" t="s">
        <v>170</v>
      </c>
      <c r="BC87" s="37" t="s">
        <v>596</v>
      </c>
      <c r="BD87" s="37" t="s">
        <v>596</v>
      </c>
      <c r="BE87" s="37" t="s">
        <v>607</v>
      </c>
      <c r="BF87" s="37" t="s">
        <v>608</v>
      </c>
      <c r="BG87" s="39" t="b">
        <f t="shared" si="4"/>
        <v>1</v>
      </c>
      <c r="BH87" s="39" t="str">
        <f t="shared" si="5"/>
        <v>Topography &amp; Road Engineering</v>
      </c>
      <c r="BI87" s="39" t="b">
        <f t="shared" si="6"/>
        <v>0</v>
      </c>
      <c r="BJ87" t="str">
        <f t="shared" si="7"/>
        <v>CLIENT INPUT REQUIRED</v>
      </c>
      <c r="BK87" s="39" t="str">
        <f>IF(A87="","",IF(BI87&lt;&gt;TRUE(),"No specific plan",IF(ISNUMBER(BJ87),IF(BJ87&lt;'Exec Summary'!$C$4,"Resolved before Feb 2027","Resolved after Feb 2027"),"CLIENT INPUT REQUIRED")))</f>
        <v>No specific plan</v>
      </c>
    </row>
    <row r="88" spans="1:63" ht="27" customHeight="1" x14ac:dyDescent="0.25">
      <c r="A88" s="38">
        <v>85</v>
      </c>
      <c r="B88" s="38" t="s">
        <v>347</v>
      </c>
      <c r="C88" s="38" t="s">
        <v>348</v>
      </c>
      <c r="D88" s="38">
        <v>24.740022760529399</v>
      </c>
      <c r="E88" s="38">
        <v>55.788646990975103</v>
      </c>
      <c r="F88" s="38" t="s">
        <v>12</v>
      </c>
      <c r="G88" s="38" t="s">
        <v>235</v>
      </c>
      <c r="H88" s="38"/>
      <c r="I88" s="38" t="s">
        <v>170</v>
      </c>
      <c r="J88" s="38" t="s">
        <v>23</v>
      </c>
      <c r="K88" s="61" t="s">
        <v>349</v>
      </c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7" t="s">
        <v>167</v>
      </c>
      <c r="AN88" s="49" t="s">
        <v>576</v>
      </c>
      <c r="AO88" s="37" t="s">
        <v>576</v>
      </c>
      <c r="AP88" s="50" t="s">
        <v>577</v>
      </c>
      <c r="AQ88" s="37" t="s">
        <v>167</v>
      </c>
      <c r="AR88" s="37" t="s">
        <v>596</v>
      </c>
      <c r="AS88" s="52" t="s">
        <v>582</v>
      </c>
      <c r="AT88" s="51" t="s">
        <v>583</v>
      </c>
      <c r="AU88" s="51" t="s">
        <v>576</v>
      </c>
      <c r="AV88" s="51" t="s">
        <v>576</v>
      </c>
      <c r="AW88" s="37" t="s">
        <v>597</v>
      </c>
      <c r="AX88" s="37" t="s">
        <v>597</v>
      </c>
      <c r="AY88" s="50" t="s">
        <v>580</v>
      </c>
      <c r="AZ88" s="50" t="s">
        <v>580</v>
      </c>
      <c r="BA88" s="37" t="s">
        <v>580</v>
      </c>
      <c r="BB88" s="37" t="s">
        <v>167</v>
      </c>
      <c r="BC88" s="37" t="s">
        <v>596</v>
      </c>
      <c r="BD88" s="37" t="s">
        <v>596</v>
      </c>
      <c r="BE88" s="37" t="s">
        <v>598</v>
      </c>
      <c r="BF88" s="37" t="s">
        <v>599</v>
      </c>
      <c r="BG88" s="39" t="b">
        <f t="shared" si="4"/>
        <v>1</v>
      </c>
      <c r="BH88" s="39" t="str">
        <f t="shared" si="5"/>
        <v>Inadequate Design Capacity</v>
      </c>
      <c r="BI88" s="39" t="b">
        <f t="shared" si="6"/>
        <v>0</v>
      </c>
      <c r="BJ88" t="str">
        <f t="shared" si="7"/>
        <v>CLIENT INPUT REQUIRED</v>
      </c>
      <c r="BK88" s="39" t="str">
        <f>IF(A88="","",IF(BI88&lt;&gt;TRUE(),"No specific plan",IF(ISNUMBER(BJ88),IF(BJ88&lt;'Exec Summary'!$C$4,"Resolved before Feb 2027","Resolved after Feb 2027"),"CLIENT INPUT REQUIRED")))</f>
        <v>No specific plan</v>
      </c>
    </row>
    <row r="89" spans="1:63" ht="27" customHeight="1" x14ac:dyDescent="0.25">
      <c r="A89" s="38">
        <v>86</v>
      </c>
      <c r="B89" s="38" t="s">
        <v>347</v>
      </c>
      <c r="C89" s="38" t="s">
        <v>350</v>
      </c>
      <c r="D89" s="38">
        <v>24.732111</v>
      </c>
      <c r="E89" s="38">
        <v>55.781277000000003</v>
      </c>
      <c r="F89" s="38" t="s">
        <v>12</v>
      </c>
      <c r="G89" s="38" t="s">
        <v>235</v>
      </c>
      <c r="H89" s="38"/>
      <c r="I89" s="38" t="s">
        <v>170</v>
      </c>
      <c r="J89" s="38" t="s">
        <v>23</v>
      </c>
      <c r="K89" s="61" t="s">
        <v>351</v>
      </c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7" t="s">
        <v>170</v>
      </c>
      <c r="AN89" s="49" t="s">
        <v>586</v>
      </c>
      <c r="AO89" s="37" t="s">
        <v>586</v>
      </c>
      <c r="AP89" s="50" t="s">
        <v>577</v>
      </c>
      <c r="AQ89" s="37" t="s">
        <v>167</v>
      </c>
      <c r="AR89" s="37" t="s">
        <v>596</v>
      </c>
      <c r="AS89" s="52" t="s">
        <v>582</v>
      </c>
      <c r="AT89" s="51" t="s">
        <v>583</v>
      </c>
      <c r="AU89" s="52" t="s">
        <v>587</v>
      </c>
      <c r="AV89" s="51" t="s">
        <v>588</v>
      </c>
      <c r="AW89" s="37" t="s">
        <v>597</v>
      </c>
      <c r="AX89" s="37" t="s">
        <v>597</v>
      </c>
      <c r="AY89" s="53">
        <v>45839</v>
      </c>
      <c r="AZ89" s="53">
        <v>46204</v>
      </c>
      <c r="BA89" s="37" t="s">
        <v>601</v>
      </c>
      <c r="BB89" s="37" t="s">
        <v>170</v>
      </c>
      <c r="BC89" s="63">
        <v>45839</v>
      </c>
      <c r="BD89" s="63">
        <v>46204</v>
      </c>
      <c r="BE89" s="37" t="s">
        <v>602</v>
      </c>
      <c r="BF89" s="37" t="s">
        <v>599</v>
      </c>
      <c r="BG89" s="39" t="b">
        <f t="shared" si="4"/>
        <v>1</v>
      </c>
      <c r="BH89" s="39" t="str">
        <f t="shared" si="5"/>
        <v>Inadequate Design Capacity</v>
      </c>
      <c r="BI89" s="39" t="b">
        <f t="shared" si="6"/>
        <v>0</v>
      </c>
      <c r="BJ89">
        <f t="shared" si="7"/>
        <v>46204</v>
      </c>
      <c r="BK89" s="39" t="str">
        <f>IF(A89="","",IF(BI89&lt;&gt;TRUE(),"No specific plan",IF(ISNUMBER(BJ89),IF(BJ89&lt;'Exec Summary'!$C$4,"Resolved before Feb 2027","Resolved after Feb 2027"),"CLIENT INPUT REQUIRED")))</f>
        <v>No specific plan</v>
      </c>
    </row>
    <row r="90" spans="1:63" ht="27" customHeight="1" x14ac:dyDescent="0.25">
      <c r="A90" s="38">
        <v>87</v>
      </c>
      <c r="B90" s="38" t="s">
        <v>347</v>
      </c>
      <c r="C90" s="38" t="s">
        <v>352</v>
      </c>
      <c r="D90" s="38">
        <v>24.739502000000002</v>
      </c>
      <c r="E90" s="38">
        <v>55.794145999999998</v>
      </c>
      <c r="F90" s="38" t="s">
        <v>12</v>
      </c>
      <c r="G90" s="38" t="s">
        <v>235</v>
      </c>
      <c r="H90" s="38"/>
      <c r="I90" s="38" t="s">
        <v>170</v>
      </c>
      <c r="J90" s="38" t="s">
        <v>23</v>
      </c>
      <c r="K90" s="61" t="s">
        <v>353</v>
      </c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7" t="s">
        <v>170</v>
      </c>
      <c r="AN90" s="49" t="s">
        <v>586</v>
      </c>
      <c r="AO90" s="37" t="s">
        <v>586</v>
      </c>
      <c r="AP90" s="50" t="s">
        <v>577</v>
      </c>
      <c r="AQ90" s="37" t="s">
        <v>167</v>
      </c>
      <c r="AR90" s="37" t="s">
        <v>596</v>
      </c>
      <c r="AS90" s="52" t="s">
        <v>582</v>
      </c>
      <c r="AT90" s="51" t="s">
        <v>583</v>
      </c>
      <c r="AU90" s="52" t="s">
        <v>587</v>
      </c>
      <c r="AV90" s="51" t="s">
        <v>588</v>
      </c>
      <c r="AW90" s="37" t="s">
        <v>597</v>
      </c>
      <c r="AX90" s="37" t="s">
        <v>597</v>
      </c>
      <c r="AY90" s="53">
        <v>45839</v>
      </c>
      <c r="AZ90" s="53">
        <v>46204</v>
      </c>
      <c r="BA90" s="37" t="s">
        <v>601</v>
      </c>
      <c r="BB90" s="37" t="s">
        <v>170</v>
      </c>
      <c r="BC90" s="63">
        <v>45839</v>
      </c>
      <c r="BD90" s="63">
        <v>46204</v>
      </c>
      <c r="BE90" s="37" t="s">
        <v>602</v>
      </c>
      <c r="BF90" s="37" t="s">
        <v>599</v>
      </c>
      <c r="BG90" s="39" t="b">
        <f t="shared" si="4"/>
        <v>1</v>
      </c>
      <c r="BH90" s="39" t="str">
        <f t="shared" si="5"/>
        <v>Inadequate Design Capacity</v>
      </c>
      <c r="BI90" s="39" t="b">
        <f t="shared" si="6"/>
        <v>0</v>
      </c>
      <c r="BJ90">
        <f t="shared" si="7"/>
        <v>46204</v>
      </c>
      <c r="BK90" s="39" t="str">
        <f>IF(A90="","",IF(BI90&lt;&gt;TRUE(),"No specific plan",IF(ISNUMBER(BJ90),IF(BJ90&lt;'Exec Summary'!$C$4,"Resolved before Feb 2027","Resolved after Feb 2027"),"CLIENT INPUT REQUIRED")))</f>
        <v>No specific plan</v>
      </c>
    </row>
    <row r="91" spans="1:63" ht="27" customHeight="1" x14ac:dyDescent="0.25">
      <c r="A91" s="38">
        <v>88</v>
      </c>
      <c r="B91" s="38" t="s">
        <v>347</v>
      </c>
      <c r="C91" s="38" t="s">
        <v>354</v>
      </c>
      <c r="D91" s="38">
        <v>24.691215898296299</v>
      </c>
      <c r="E91" s="38">
        <v>55.727597537430903</v>
      </c>
      <c r="F91" s="38" t="s">
        <v>12</v>
      </c>
      <c r="G91" s="38" t="s">
        <v>235</v>
      </c>
      <c r="H91" s="38"/>
      <c r="I91" s="38" t="s">
        <v>170</v>
      </c>
      <c r="J91" s="38" t="s">
        <v>23</v>
      </c>
      <c r="K91" s="61" t="s">
        <v>355</v>
      </c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7" t="s">
        <v>167</v>
      </c>
      <c r="AN91" s="49" t="s">
        <v>576</v>
      </c>
      <c r="AO91" s="37" t="s">
        <v>576</v>
      </c>
      <c r="AP91" s="50" t="s">
        <v>577</v>
      </c>
      <c r="AQ91" s="37" t="s">
        <v>167</v>
      </c>
      <c r="AR91" s="37" t="s">
        <v>596</v>
      </c>
      <c r="AS91" s="52" t="s">
        <v>582</v>
      </c>
      <c r="AT91" s="51" t="s">
        <v>583</v>
      </c>
      <c r="AU91" s="51" t="s">
        <v>576</v>
      </c>
      <c r="AV91" s="51" t="s">
        <v>576</v>
      </c>
      <c r="AW91" s="37" t="s">
        <v>597</v>
      </c>
      <c r="AX91" s="37" t="s">
        <v>597</v>
      </c>
      <c r="AY91" s="50" t="s">
        <v>580</v>
      </c>
      <c r="AZ91" s="50" t="s">
        <v>580</v>
      </c>
      <c r="BA91" s="37" t="s">
        <v>580</v>
      </c>
      <c r="BB91" s="37" t="s">
        <v>167</v>
      </c>
      <c r="BC91" s="37" t="s">
        <v>596</v>
      </c>
      <c r="BD91" s="37" t="s">
        <v>596</v>
      </c>
      <c r="BE91" s="37" t="s">
        <v>598</v>
      </c>
      <c r="BF91" s="37" t="s">
        <v>599</v>
      </c>
      <c r="BG91" s="39" t="b">
        <f t="shared" si="4"/>
        <v>1</v>
      </c>
      <c r="BH91" s="39" t="str">
        <f t="shared" si="5"/>
        <v>Inadequate Design Capacity</v>
      </c>
      <c r="BI91" s="39" t="b">
        <f t="shared" si="6"/>
        <v>0</v>
      </c>
      <c r="BJ91" t="str">
        <f t="shared" si="7"/>
        <v>CLIENT INPUT REQUIRED</v>
      </c>
      <c r="BK91" s="39" t="str">
        <f>IF(A91="","",IF(BI91&lt;&gt;TRUE(),"No specific plan",IF(ISNUMBER(BJ91),IF(BJ91&lt;'Exec Summary'!$C$4,"Resolved before Feb 2027","Resolved after Feb 2027"),"CLIENT INPUT REQUIRED")))</f>
        <v>No specific plan</v>
      </c>
    </row>
    <row r="92" spans="1:63" ht="27" customHeight="1" x14ac:dyDescent="0.25">
      <c r="A92" s="38">
        <v>89</v>
      </c>
      <c r="B92" s="38" t="s">
        <v>356</v>
      </c>
      <c r="C92" s="38" t="s">
        <v>357</v>
      </c>
      <c r="D92" s="38" t="s">
        <v>358</v>
      </c>
      <c r="E92" s="38" t="s">
        <v>359</v>
      </c>
      <c r="F92" s="38" t="s">
        <v>13</v>
      </c>
      <c r="G92" s="38" t="s">
        <v>360</v>
      </c>
      <c r="H92" s="38"/>
      <c r="I92" s="38" t="s">
        <v>170</v>
      </c>
      <c r="J92" s="38" t="s">
        <v>23</v>
      </c>
      <c r="K92" s="61" t="s">
        <v>361</v>
      </c>
      <c r="L92" s="38"/>
      <c r="M92" s="38"/>
      <c r="N92" s="38"/>
      <c r="O92" s="38"/>
      <c r="P92" s="38">
        <v>0</v>
      </c>
      <c r="Q92" s="38"/>
      <c r="R92" s="38"/>
      <c r="S92" s="38"/>
      <c r="T92" s="38"/>
      <c r="U92" s="38"/>
      <c r="V92" s="38"/>
      <c r="W92" s="38"/>
      <c r="X92" s="38"/>
      <c r="Y92" s="38"/>
      <c r="Z92" s="38">
        <v>0</v>
      </c>
      <c r="AA92" s="38">
        <v>3</v>
      </c>
      <c r="AB92" s="38">
        <v>15000</v>
      </c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7" t="s">
        <v>167</v>
      </c>
      <c r="AN92" s="49" t="s">
        <v>576</v>
      </c>
      <c r="AO92" s="37" t="s">
        <v>576</v>
      </c>
      <c r="AP92" s="50" t="s">
        <v>577</v>
      </c>
      <c r="AQ92" s="37" t="s">
        <v>167</v>
      </c>
      <c r="AR92" s="37" t="s">
        <v>596</v>
      </c>
      <c r="AS92" s="52" t="s">
        <v>582</v>
      </c>
      <c r="AT92" s="51" t="s">
        <v>583</v>
      </c>
      <c r="AU92" s="51" t="s">
        <v>576</v>
      </c>
      <c r="AV92" s="51" t="s">
        <v>576</v>
      </c>
      <c r="AW92" s="37" t="s">
        <v>597</v>
      </c>
      <c r="AX92" s="37" t="s">
        <v>597</v>
      </c>
      <c r="AY92" s="50" t="s">
        <v>580</v>
      </c>
      <c r="AZ92" s="50" t="s">
        <v>580</v>
      </c>
      <c r="BA92" s="37" t="s">
        <v>580</v>
      </c>
      <c r="BB92" s="37" t="s">
        <v>167</v>
      </c>
      <c r="BC92" s="37" t="s">
        <v>596</v>
      </c>
      <c r="BD92" s="37" t="s">
        <v>596</v>
      </c>
      <c r="BE92" s="37" t="s">
        <v>598</v>
      </c>
      <c r="BF92" s="37" t="s">
        <v>599</v>
      </c>
      <c r="BG92" s="39" t="b">
        <f t="shared" si="4"/>
        <v>1</v>
      </c>
      <c r="BH92" s="39" t="str">
        <f t="shared" si="5"/>
        <v>Inadequate Design Capacity</v>
      </c>
      <c r="BI92" s="39" t="b">
        <f t="shared" si="6"/>
        <v>0</v>
      </c>
      <c r="BJ92" t="str">
        <f t="shared" si="7"/>
        <v>CLIENT INPUT REQUIRED</v>
      </c>
      <c r="BK92" s="39" t="str">
        <f>IF(A92="","",IF(BI92&lt;&gt;TRUE(),"No specific plan",IF(ISNUMBER(BJ92),IF(BJ92&lt;'Exec Summary'!$C$4,"Resolved before Feb 2027","Resolved after Feb 2027"),"CLIENT INPUT REQUIRED")))</f>
        <v>No specific plan</v>
      </c>
    </row>
    <row r="93" spans="1:63" ht="27" customHeight="1" x14ac:dyDescent="0.25">
      <c r="A93" s="38">
        <v>90</v>
      </c>
      <c r="B93" s="38" t="s">
        <v>362</v>
      </c>
      <c r="C93" s="38" t="s">
        <v>363</v>
      </c>
      <c r="D93" s="38">
        <v>24.249841132447401</v>
      </c>
      <c r="E93" s="38">
        <v>55.702190588357396</v>
      </c>
      <c r="F93" s="38" t="s">
        <v>13</v>
      </c>
      <c r="G93" s="38" t="s">
        <v>235</v>
      </c>
      <c r="H93" s="38"/>
      <c r="I93" s="38" t="s">
        <v>170</v>
      </c>
      <c r="J93" s="38" t="s">
        <v>23</v>
      </c>
      <c r="K93" s="61" t="s">
        <v>364</v>
      </c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7" t="s">
        <v>170</v>
      </c>
      <c r="AN93" s="49" t="s">
        <v>581</v>
      </c>
      <c r="AO93" s="37" t="s">
        <v>581</v>
      </c>
      <c r="AP93" s="50" t="s">
        <v>577</v>
      </c>
      <c r="AQ93" s="37" t="s">
        <v>167</v>
      </c>
      <c r="AR93" s="37" t="s">
        <v>596</v>
      </c>
      <c r="AS93" s="52" t="s">
        <v>582</v>
      </c>
      <c r="AT93" s="51" t="s">
        <v>583</v>
      </c>
      <c r="AU93" s="52" t="s">
        <v>584</v>
      </c>
      <c r="AV93" s="51" t="s">
        <v>585</v>
      </c>
      <c r="AW93" s="37" t="s">
        <v>597</v>
      </c>
      <c r="AX93" s="37" t="s">
        <v>597</v>
      </c>
      <c r="AY93" s="53">
        <v>45658</v>
      </c>
      <c r="AZ93" s="53">
        <v>46357</v>
      </c>
      <c r="BA93" s="37" t="s">
        <v>601</v>
      </c>
      <c r="BB93" s="37" t="s">
        <v>170</v>
      </c>
      <c r="BC93" s="63">
        <v>45916</v>
      </c>
      <c r="BD93" s="63">
        <v>46244</v>
      </c>
      <c r="BE93" s="37" t="s">
        <v>602</v>
      </c>
      <c r="BF93" s="37" t="s">
        <v>599</v>
      </c>
      <c r="BG93" s="39" t="b">
        <f t="shared" si="4"/>
        <v>1</v>
      </c>
      <c r="BH93" s="39" t="str">
        <f t="shared" si="5"/>
        <v>Inadequate Design Capacity</v>
      </c>
      <c r="BI93" s="39" t="b">
        <f t="shared" si="6"/>
        <v>0</v>
      </c>
      <c r="BJ93">
        <f t="shared" si="7"/>
        <v>46357</v>
      </c>
      <c r="BK93" s="39" t="str">
        <f>IF(A93="","",IF(BI93&lt;&gt;TRUE(),"No specific plan",IF(ISNUMBER(BJ93),IF(BJ93&lt;'Exec Summary'!$C$4,"Resolved before Feb 2027","Resolved after Feb 2027"),"CLIENT INPUT REQUIRED")))</f>
        <v>No specific plan</v>
      </c>
    </row>
    <row r="94" spans="1:63" ht="27" customHeight="1" x14ac:dyDescent="0.25">
      <c r="A94" s="38">
        <v>91</v>
      </c>
      <c r="B94" s="38" t="s">
        <v>356</v>
      </c>
      <c r="C94" s="38" t="s">
        <v>365</v>
      </c>
      <c r="D94" s="38">
        <v>24.254929000000001</v>
      </c>
      <c r="E94" s="38">
        <v>55.694510000000001</v>
      </c>
      <c r="F94" s="38" t="s">
        <v>13</v>
      </c>
      <c r="G94" s="38" t="s">
        <v>235</v>
      </c>
      <c r="H94" s="38"/>
      <c r="I94" s="38" t="s">
        <v>170</v>
      </c>
      <c r="J94" s="38" t="s">
        <v>23</v>
      </c>
      <c r="K94" s="61" t="s">
        <v>366</v>
      </c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7" t="s">
        <v>170</v>
      </c>
      <c r="AN94" s="49" t="s">
        <v>581</v>
      </c>
      <c r="AO94" s="37" t="s">
        <v>581</v>
      </c>
      <c r="AP94" s="50" t="s">
        <v>577</v>
      </c>
      <c r="AQ94" s="37" t="s">
        <v>167</v>
      </c>
      <c r="AR94" s="37" t="s">
        <v>596</v>
      </c>
      <c r="AS94" s="52" t="s">
        <v>582</v>
      </c>
      <c r="AT94" s="51" t="s">
        <v>583</v>
      </c>
      <c r="AU94" s="52" t="s">
        <v>584</v>
      </c>
      <c r="AV94" s="51" t="s">
        <v>585</v>
      </c>
      <c r="AW94" s="37" t="s">
        <v>597</v>
      </c>
      <c r="AX94" s="37" t="s">
        <v>597</v>
      </c>
      <c r="AY94" s="53">
        <v>45658</v>
      </c>
      <c r="AZ94" s="53">
        <v>46357</v>
      </c>
      <c r="BA94" s="37" t="s">
        <v>601</v>
      </c>
      <c r="BB94" s="37" t="s">
        <v>170</v>
      </c>
      <c r="BC94" s="63">
        <v>45979</v>
      </c>
      <c r="BD94" s="63">
        <v>46244</v>
      </c>
      <c r="BE94" s="37" t="s">
        <v>602</v>
      </c>
      <c r="BF94" s="37" t="s">
        <v>599</v>
      </c>
      <c r="BG94" s="39" t="b">
        <f t="shared" si="4"/>
        <v>1</v>
      </c>
      <c r="BH94" s="39" t="str">
        <f t="shared" si="5"/>
        <v>Inadequate Design Capacity</v>
      </c>
      <c r="BI94" s="39" t="b">
        <f t="shared" si="6"/>
        <v>0</v>
      </c>
      <c r="BJ94">
        <f t="shared" si="7"/>
        <v>46357</v>
      </c>
      <c r="BK94" s="39" t="str">
        <f>IF(A94="","",IF(BI94&lt;&gt;TRUE(),"No specific plan",IF(ISNUMBER(BJ94),IF(BJ94&lt;'Exec Summary'!$C$4,"Resolved before Feb 2027","Resolved after Feb 2027"),"CLIENT INPUT REQUIRED")))</f>
        <v>No specific plan</v>
      </c>
    </row>
    <row r="95" spans="1:63" ht="27" customHeight="1" x14ac:dyDescent="0.25">
      <c r="A95" s="38">
        <v>92</v>
      </c>
      <c r="B95" s="38" t="s">
        <v>356</v>
      </c>
      <c r="C95" s="38" t="s">
        <v>367</v>
      </c>
      <c r="D95" s="38">
        <v>24.256326000000001</v>
      </c>
      <c r="E95" s="38">
        <v>55.692214</v>
      </c>
      <c r="F95" s="38" t="s">
        <v>13</v>
      </c>
      <c r="G95" s="38" t="s">
        <v>166</v>
      </c>
      <c r="H95" s="38"/>
      <c r="I95" s="38" t="s">
        <v>170</v>
      </c>
      <c r="J95" s="38" t="s">
        <v>23</v>
      </c>
      <c r="K95" s="61" t="s">
        <v>368</v>
      </c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7" t="s">
        <v>170</v>
      </c>
      <c r="AN95" s="49" t="s">
        <v>581</v>
      </c>
      <c r="AO95" s="37" t="s">
        <v>581</v>
      </c>
      <c r="AP95" s="50" t="s">
        <v>577</v>
      </c>
      <c r="AQ95" s="37" t="s">
        <v>167</v>
      </c>
      <c r="AR95" s="37" t="s">
        <v>596</v>
      </c>
      <c r="AS95" s="52" t="s">
        <v>582</v>
      </c>
      <c r="AT95" s="51" t="s">
        <v>583</v>
      </c>
      <c r="AU95" s="52" t="s">
        <v>584</v>
      </c>
      <c r="AV95" s="51" t="s">
        <v>585</v>
      </c>
      <c r="AW95" s="37" t="s">
        <v>597</v>
      </c>
      <c r="AX95" s="37" t="s">
        <v>597</v>
      </c>
      <c r="AY95" s="53" t="s">
        <v>593</v>
      </c>
      <c r="AZ95" s="53" t="s">
        <v>593</v>
      </c>
      <c r="BA95" s="37" t="s">
        <v>609</v>
      </c>
      <c r="BB95" s="37" t="s">
        <v>170</v>
      </c>
      <c r="BC95" s="37" t="s">
        <v>602</v>
      </c>
      <c r="BD95" s="37" t="s">
        <v>602</v>
      </c>
      <c r="BE95" s="37" t="s">
        <v>602</v>
      </c>
      <c r="BF95" s="37" t="s">
        <v>610</v>
      </c>
      <c r="BG95" s="39" t="b">
        <f t="shared" si="4"/>
        <v>1</v>
      </c>
      <c r="BH95" s="39" t="str">
        <f t="shared" si="5"/>
        <v>Inadequate Design Capacity</v>
      </c>
      <c r="BI95" s="39" t="b">
        <f t="shared" si="6"/>
        <v>0</v>
      </c>
      <c r="BJ95" t="str">
        <f t="shared" si="7"/>
        <v>CLIENT INPUT REQUIRED</v>
      </c>
      <c r="BK95" s="39" t="str">
        <f>IF(A95="","",IF(BI95&lt;&gt;TRUE(),"No specific plan",IF(ISNUMBER(BJ95),IF(BJ95&lt;'Exec Summary'!$C$4,"Resolved before Feb 2027","Resolved after Feb 2027"),"CLIENT INPUT REQUIRED")))</f>
        <v>No specific plan</v>
      </c>
    </row>
    <row r="96" spans="1:63" ht="27" customHeight="1" x14ac:dyDescent="0.25">
      <c r="A96" s="38">
        <v>93</v>
      </c>
      <c r="B96" s="38" t="s">
        <v>369</v>
      </c>
      <c r="C96" s="38" t="s">
        <v>370</v>
      </c>
      <c r="D96" s="38">
        <v>23.635010000000001</v>
      </c>
      <c r="E96" s="38">
        <v>55.567770000000003</v>
      </c>
      <c r="F96" s="38" t="s">
        <v>165</v>
      </c>
      <c r="G96" s="38" t="s">
        <v>235</v>
      </c>
      <c r="H96" s="38"/>
      <c r="I96" s="38" t="s">
        <v>170</v>
      </c>
      <c r="J96" s="38" t="s">
        <v>23</v>
      </c>
      <c r="K96" s="61" t="s">
        <v>371</v>
      </c>
      <c r="L96" s="38"/>
      <c r="M96" s="38"/>
      <c r="N96" s="38"/>
      <c r="O96" s="38"/>
      <c r="P96" s="38">
        <v>2</v>
      </c>
      <c r="Q96" s="38"/>
      <c r="R96" s="38"/>
      <c r="S96" s="38"/>
      <c r="T96" s="38"/>
      <c r="U96" s="38"/>
      <c r="V96" s="38"/>
      <c r="W96" s="38"/>
      <c r="X96" s="38"/>
      <c r="Y96" s="38"/>
      <c r="Z96" s="38">
        <v>10000</v>
      </c>
      <c r="AA96" s="38">
        <v>5</v>
      </c>
      <c r="AB96" s="38">
        <v>25000</v>
      </c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7" t="s">
        <v>167</v>
      </c>
      <c r="AN96" s="49" t="s">
        <v>576</v>
      </c>
      <c r="AO96" s="37" t="s">
        <v>576</v>
      </c>
      <c r="AP96" s="50" t="s">
        <v>577</v>
      </c>
      <c r="AQ96" s="37" t="s">
        <v>167</v>
      </c>
      <c r="AR96" s="37" t="s">
        <v>596</v>
      </c>
      <c r="AS96" s="52" t="s">
        <v>582</v>
      </c>
      <c r="AT96" s="51" t="s">
        <v>583</v>
      </c>
      <c r="AU96" s="51" t="s">
        <v>576</v>
      </c>
      <c r="AV96" s="51" t="s">
        <v>576</v>
      </c>
      <c r="AW96" s="37" t="s">
        <v>597</v>
      </c>
      <c r="AX96" s="37" t="s">
        <v>597</v>
      </c>
      <c r="AY96" s="50" t="s">
        <v>580</v>
      </c>
      <c r="AZ96" s="50" t="s">
        <v>580</v>
      </c>
      <c r="BA96" s="37" t="s">
        <v>580</v>
      </c>
      <c r="BB96" s="37" t="s">
        <v>167</v>
      </c>
      <c r="BC96" s="37" t="s">
        <v>596</v>
      </c>
      <c r="BD96" s="37" t="s">
        <v>596</v>
      </c>
      <c r="BE96" s="37" t="s">
        <v>598</v>
      </c>
      <c r="BF96" s="37" t="s">
        <v>599</v>
      </c>
      <c r="BG96" s="39" t="b">
        <f t="shared" si="4"/>
        <v>1</v>
      </c>
      <c r="BH96" s="39" t="str">
        <f t="shared" si="5"/>
        <v>Inadequate Design Capacity</v>
      </c>
      <c r="BI96" s="39" t="b">
        <f t="shared" si="6"/>
        <v>0</v>
      </c>
      <c r="BJ96" t="str">
        <f t="shared" si="7"/>
        <v>CLIENT INPUT REQUIRED</v>
      </c>
      <c r="BK96" s="39" t="str">
        <f>IF(A96="","",IF(BI96&lt;&gt;TRUE(),"No specific plan",IF(ISNUMBER(BJ96),IF(BJ96&lt;'Exec Summary'!$C$4,"Resolved before Feb 2027","Resolved after Feb 2027"),"CLIENT INPUT REQUIRED")))</f>
        <v>No specific plan</v>
      </c>
    </row>
    <row r="97" spans="1:63" ht="27" customHeight="1" x14ac:dyDescent="0.25">
      <c r="A97" s="38">
        <v>94</v>
      </c>
      <c r="B97" s="38" t="s">
        <v>369</v>
      </c>
      <c r="C97" s="38" t="s">
        <v>372</v>
      </c>
      <c r="D97" s="38">
        <v>23.632156999999999</v>
      </c>
      <c r="E97" s="38">
        <v>55.545319999999997</v>
      </c>
      <c r="F97" s="38" t="s">
        <v>165</v>
      </c>
      <c r="G97" s="38" t="s">
        <v>235</v>
      </c>
      <c r="H97" s="38"/>
      <c r="I97" s="38" t="s">
        <v>170</v>
      </c>
      <c r="J97" s="38" t="s">
        <v>23</v>
      </c>
      <c r="K97" s="61" t="s">
        <v>373</v>
      </c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7" t="s">
        <v>167</v>
      </c>
      <c r="AN97" s="49" t="s">
        <v>576</v>
      </c>
      <c r="AO97" s="37" t="s">
        <v>576</v>
      </c>
      <c r="AP97" s="50" t="s">
        <v>577</v>
      </c>
      <c r="AQ97" s="37" t="s">
        <v>167</v>
      </c>
      <c r="AR97" s="37" t="s">
        <v>596</v>
      </c>
      <c r="AS97" s="52" t="s">
        <v>582</v>
      </c>
      <c r="AT97" s="51" t="s">
        <v>583</v>
      </c>
      <c r="AU97" s="51" t="s">
        <v>576</v>
      </c>
      <c r="AV97" s="51" t="s">
        <v>576</v>
      </c>
      <c r="AW97" s="37" t="s">
        <v>597</v>
      </c>
      <c r="AX97" s="37" t="s">
        <v>597</v>
      </c>
      <c r="AY97" s="50" t="s">
        <v>580</v>
      </c>
      <c r="AZ97" s="50" t="s">
        <v>580</v>
      </c>
      <c r="BA97" s="37" t="s">
        <v>580</v>
      </c>
      <c r="BB97" s="37" t="s">
        <v>167</v>
      </c>
      <c r="BC97" s="37" t="s">
        <v>596</v>
      </c>
      <c r="BD97" s="37" t="s">
        <v>596</v>
      </c>
      <c r="BE97" s="37" t="s">
        <v>598</v>
      </c>
      <c r="BF97" s="37" t="s">
        <v>599</v>
      </c>
      <c r="BG97" s="39" t="b">
        <f t="shared" si="4"/>
        <v>1</v>
      </c>
      <c r="BH97" s="39" t="str">
        <f t="shared" si="5"/>
        <v>Inadequate Design Capacity</v>
      </c>
      <c r="BI97" s="39" t="b">
        <f t="shared" si="6"/>
        <v>0</v>
      </c>
      <c r="BJ97" t="str">
        <f t="shared" si="7"/>
        <v>CLIENT INPUT REQUIRED</v>
      </c>
      <c r="BK97" s="39" t="str">
        <f>IF(A97="","",IF(BI97&lt;&gt;TRUE(),"No specific plan",IF(ISNUMBER(BJ97),IF(BJ97&lt;'Exec Summary'!$C$4,"Resolved before Feb 2027","Resolved after Feb 2027"),"CLIENT INPUT REQUIRED")))</f>
        <v>No specific plan</v>
      </c>
    </row>
    <row r="98" spans="1:63" ht="27" customHeight="1" x14ac:dyDescent="0.25">
      <c r="A98" s="38">
        <v>95</v>
      </c>
      <c r="B98" s="38" t="s">
        <v>369</v>
      </c>
      <c r="C98" s="38" t="s">
        <v>374</v>
      </c>
      <c r="D98" s="38">
        <v>23.641204999999999</v>
      </c>
      <c r="E98" s="38">
        <v>55.560263999999997</v>
      </c>
      <c r="F98" s="38" t="s">
        <v>165</v>
      </c>
      <c r="G98" s="38" t="s">
        <v>235</v>
      </c>
      <c r="H98" s="38"/>
      <c r="I98" s="38" t="s">
        <v>170</v>
      </c>
      <c r="J98" s="38" t="s">
        <v>23</v>
      </c>
      <c r="K98" s="61" t="s">
        <v>375</v>
      </c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7" t="s">
        <v>167</v>
      </c>
      <c r="AN98" s="49" t="s">
        <v>576</v>
      </c>
      <c r="AO98" s="37" t="s">
        <v>576</v>
      </c>
      <c r="AP98" s="50" t="s">
        <v>577</v>
      </c>
      <c r="AQ98" s="37" t="s">
        <v>167</v>
      </c>
      <c r="AR98" s="37" t="s">
        <v>596</v>
      </c>
      <c r="AS98" s="52" t="s">
        <v>582</v>
      </c>
      <c r="AT98" s="51" t="s">
        <v>583</v>
      </c>
      <c r="AU98" s="51" t="s">
        <v>576</v>
      </c>
      <c r="AV98" s="51" t="s">
        <v>576</v>
      </c>
      <c r="AW98" s="37" t="s">
        <v>597</v>
      </c>
      <c r="AX98" s="37" t="s">
        <v>597</v>
      </c>
      <c r="AY98" s="50" t="s">
        <v>580</v>
      </c>
      <c r="AZ98" s="50" t="s">
        <v>580</v>
      </c>
      <c r="BA98" s="37" t="s">
        <v>580</v>
      </c>
      <c r="BB98" s="37" t="s">
        <v>167</v>
      </c>
      <c r="BC98" s="37" t="s">
        <v>596</v>
      </c>
      <c r="BD98" s="37" t="s">
        <v>596</v>
      </c>
      <c r="BE98" s="37" t="s">
        <v>598</v>
      </c>
      <c r="BF98" s="37" t="s">
        <v>599</v>
      </c>
      <c r="BG98" s="39" t="b">
        <f t="shared" si="4"/>
        <v>1</v>
      </c>
      <c r="BH98" s="39" t="str">
        <f t="shared" si="5"/>
        <v>Inadequate Design Capacity</v>
      </c>
      <c r="BI98" s="39" t="b">
        <f t="shared" si="6"/>
        <v>0</v>
      </c>
      <c r="BJ98" t="str">
        <f t="shared" si="7"/>
        <v>CLIENT INPUT REQUIRED</v>
      </c>
      <c r="BK98" s="39" t="str">
        <f>IF(A98="","",IF(BI98&lt;&gt;TRUE(),"No specific plan",IF(ISNUMBER(BJ98),IF(BJ98&lt;'Exec Summary'!$C$4,"Resolved before Feb 2027","Resolved after Feb 2027"),"CLIENT INPUT REQUIRED")))</f>
        <v>No specific plan</v>
      </c>
    </row>
    <row r="99" spans="1:63" ht="27" customHeight="1" x14ac:dyDescent="0.25">
      <c r="A99" s="38">
        <v>96</v>
      </c>
      <c r="B99" s="38" t="s">
        <v>376</v>
      </c>
      <c r="C99" s="38" t="s">
        <v>377</v>
      </c>
      <c r="D99" s="38">
        <v>23.414923999999999</v>
      </c>
      <c r="E99" s="38">
        <v>55.405548000000003</v>
      </c>
      <c r="F99" s="38" t="s">
        <v>12</v>
      </c>
      <c r="G99" s="38" t="s">
        <v>166</v>
      </c>
      <c r="H99" s="38"/>
      <c r="I99" s="38" t="s">
        <v>167</v>
      </c>
      <c r="J99" s="38" t="s">
        <v>24</v>
      </c>
      <c r="K99" s="61" t="s">
        <v>378</v>
      </c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7" t="s">
        <v>167</v>
      </c>
      <c r="AN99" s="49" t="s">
        <v>576</v>
      </c>
      <c r="AO99" s="37" t="s">
        <v>576</v>
      </c>
      <c r="AP99" s="50" t="s">
        <v>577</v>
      </c>
      <c r="AQ99" s="37" t="s">
        <v>167</v>
      </c>
      <c r="AR99" s="37" t="s">
        <v>596</v>
      </c>
      <c r="AS99" s="51" t="s">
        <v>578</v>
      </c>
      <c r="AT99" s="51" t="s">
        <v>579</v>
      </c>
      <c r="AU99" s="51" t="s">
        <v>576</v>
      </c>
      <c r="AV99" s="51" t="s">
        <v>576</v>
      </c>
      <c r="AW99" s="37" t="s">
        <v>597</v>
      </c>
      <c r="AX99" s="37" t="s">
        <v>597</v>
      </c>
      <c r="AY99" s="53" t="s">
        <v>580</v>
      </c>
      <c r="AZ99" s="53" t="s">
        <v>580</v>
      </c>
      <c r="BA99" s="37" t="s">
        <v>580</v>
      </c>
      <c r="BB99" s="37" t="s">
        <v>167</v>
      </c>
      <c r="BC99" s="37" t="s">
        <v>596</v>
      </c>
      <c r="BD99" s="37" t="s">
        <v>596</v>
      </c>
      <c r="BE99" s="37" t="s">
        <v>598</v>
      </c>
      <c r="BF99" s="37" t="s">
        <v>599</v>
      </c>
      <c r="BG99" s="39" t="b">
        <f t="shared" si="4"/>
        <v>1</v>
      </c>
      <c r="BH99" s="39" t="str">
        <f t="shared" si="5"/>
        <v>Absence of Drainage Network</v>
      </c>
      <c r="BI99" s="39" t="b">
        <f t="shared" si="6"/>
        <v>0</v>
      </c>
      <c r="BJ99" t="str">
        <f t="shared" si="7"/>
        <v>CLIENT INPUT REQUIRED</v>
      </c>
      <c r="BK99" s="39" t="str">
        <f>IF(A99="","",IF(BI99&lt;&gt;TRUE(),"No specific plan",IF(ISNUMBER(BJ99),IF(BJ99&lt;'Exec Summary'!$C$4,"Resolved before Feb 2027","Resolved after Feb 2027"),"CLIENT INPUT REQUIRED")))</f>
        <v>No specific plan</v>
      </c>
    </row>
    <row r="100" spans="1:63" ht="27" customHeight="1" x14ac:dyDescent="0.25">
      <c r="A100" s="38">
        <v>97</v>
      </c>
      <c r="B100" s="38" t="s">
        <v>379</v>
      </c>
      <c r="C100" s="38" t="s">
        <v>380</v>
      </c>
      <c r="D100" s="38">
        <v>24.222097000000002</v>
      </c>
      <c r="E100" s="38">
        <v>55.778875999999997</v>
      </c>
      <c r="F100" s="38" t="s">
        <v>165</v>
      </c>
      <c r="G100" s="38" t="s">
        <v>166</v>
      </c>
      <c r="H100" s="38"/>
      <c r="I100" s="38" t="s">
        <v>167</v>
      </c>
      <c r="J100" s="38" t="s">
        <v>24</v>
      </c>
      <c r="K100" s="61" t="s">
        <v>381</v>
      </c>
      <c r="L100" s="38"/>
      <c r="M100" s="38"/>
      <c r="N100" s="38"/>
      <c r="O100" s="38"/>
      <c r="P100" s="38">
        <v>4</v>
      </c>
      <c r="Q100" s="38"/>
      <c r="R100" s="38"/>
      <c r="S100" s="38"/>
      <c r="T100" s="38"/>
      <c r="U100" s="38"/>
      <c r="V100" s="38"/>
      <c r="W100" s="38"/>
      <c r="X100" s="38"/>
      <c r="Y100" s="38"/>
      <c r="Z100" s="38">
        <v>20000</v>
      </c>
      <c r="AA100" s="38">
        <v>14</v>
      </c>
      <c r="AB100" s="38">
        <v>70000</v>
      </c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7" t="s">
        <v>170</v>
      </c>
      <c r="AN100" s="49" t="s">
        <v>581</v>
      </c>
      <c r="AO100" s="37" t="s">
        <v>581</v>
      </c>
      <c r="AP100" s="50" t="s">
        <v>577</v>
      </c>
      <c r="AQ100" s="37" t="s">
        <v>167</v>
      </c>
      <c r="AR100" s="37" t="s">
        <v>596</v>
      </c>
      <c r="AS100" s="52" t="s">
        <v>582</v>
      </c>
      <c r="AT100" s="51" t="s">
        <v>583</v>
      </c>
      <c r="AU100" s="52" t="s">
        <v>584</v>
      </c>
      <c r="AV100" s="51" t="s">
        <v>585</v>
      </c>
      <c r="AW100" s="37" t="s">
        <v>597</v>
      </c>
      <c r="AX100" s="37" t="s">
        <v>597</v>
      </c>
      <c r="AY100" s="53">
        <v>46388</v>
      </c>
      <c r="AZ100" s="53">
        <v>47088</v>
      </c>
      <c r="BA100" s="37" t="s">
        <v>600</v>
      </c>
      <c r="BB100" s="37" t="s">
        <v>170</v>
      </c>
      <c r="BC100" s="37" t="s">
        <v>596</v>
      </c>
      <c r="BD100" s="37" t="s">
        <v>596</v>
      </c>
      <c r="BE100" s="37" t="s">
        <v>598</v>
      </c>
      <c r="BF100" s="37" t="s">
        <v>599</v>
      </c>
      <c r="BG100" s="39" t="b">
        <f t="shared" si="4"/>
        <v>1</v>
      </c>
      <c r="BH100" s="39" t="str">
        <f t="shared" si="5"/>
        <v>Absence of Drainage Network</v>
      </c>
      <c r="BI100" s="39" t="b">
        <f t="shared" si="6"/>
        <v>0</v>
      </c>
      <c r="BJ100">
        <f t="shared" si="7"/>
        <v>47088</v>
      </c>
      <c r="BK100" s="39" t="str">
        <f>IF(A100="","",IF(BI100&lt;&gt;TRUE(),"No specific plan",IF(ISNUMBER(BJ100),IF(BJ100&lt;'Exec Summary'!$C$4,"Resolved before Feb 2027","Resolved after Feb 2027"),"CLIENT INPUT REQUIRED")))</f>
        <v>No specific plan</v>
      </c>
    </row>
    <row r="101" spans="1:63" ht="27" customHeight="1" x14ac:dyDescent="0.25">
      <c r="A101" s="38">
        <v>98</v>
      </c>
      <c r="B101" s="38" t="s">
        <v>379</v>
      </c>
      <c r="C101" s="38" t="s">
        <v>382</v>
      </c>
      <c r="D101" s="38">
        <v>24.216206</v>
      </c>
      <c r="E101" s="38">
        <v>55.774605999999999</v>
      </c>
      <c r="F101" s="38" t="s">
        <v>165</v>
      </c>
      <c r="G101" s="38" t="s">
        <v>235</v>
      </c>
      <c r="H101" s="38"/>
      <c r="I101" s="38" t="s">
        <v>170</v>
      </c>
      <c r="J101" s="38" t="s">
        <v>23</v>
      </c>
      <c r="K101" s="61" t="s">
        <v>383</v>
      </c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7" t="s">
        <v>167</v>
      </c>
      <c r="AN101" s="49" t="s">
        <v>576</v>
      </c>
      <c r="AO101" s="37" t="s">
        <v>576</v>
      </c>
      <c r="AP101" s="50" t="s">
        <v>577</v>
      </c>
      <c r="AQ101" s="37" t="s">
        <v>167</v>
      </c>
      <c r="AR101" s="37" t="s">
        <v>596</v>
      </c>
      <c r="AS101" s="52" t="s">
        <v>582</v>
      </c>
      <c r="AT101" s="51" t="s">
        <v>583</v>
      </c>
      <c r="AU101" s="51" t="s">
        <v>576</v>
      </c>
      <c r="AV101" s="51" t="s">
        <v>576</v>
      </c>
      <c r="AW101" s="37" t="s">
        <v>597</v>
      </c>
      <c r="AX101" s="37" t="s">
        <v>597</v>
      </c>
      <c r="AY101" s="50" t="s">
        <v>580</v>
      </c>
      <c r="AZ101" s="50" t="s">
        <v>580</v>
      </c>
      <c r="BA101" s="37" t="s">
        <v>580</v>
      </c>
      <c r="BB101" s="37" t="s">
        <v>167</v>
      </c>
      <c r="BC101" s="37" t="s">
        <v>596</v>
      </c>
      <c r="BD101" s="37" t="s">
        <v>596</v>
      </c>
      <c r="BE101" s="37" t="s">
        <v>598</v>
      </c>
      <c r="BF101" s="37" t="s">
        <v>599</v>
      </c>
      <c r="BG101" s="39" t="b">
        <f t="shared" si="4"/>
        <v>1</v>
      </c>
      <c r="BH101" s="39" t="str">
        <f t="shared" si="5"/>
        <v>Inadequate Design Capacity</v>
      </c>
      <c r="BI101" s="39" t="b">
        <f t="shared" si="6"/>
        <v>0</v>
      </c>
      <c r="BJ101" t="str">
        <f t="shared" si="7"/>
        <v>CLIENT INPUT REQUIRED</v>
      </c>
      <c r="BK101" s="39" t="str">
        <f>IF(A101="","",IF(BI101&lt;&gt;TRUE(),"No specific plan",IF(ISNUMBER(BJ101),IF(BJ101&lt;'Exec Summary'!$C$4,"Resolved before Feb 2027","Resolved after Feb 2027"),"CLIENT INPUT REQUIRED")))</f>
        <v>No specific plan</v>
      </c>
    </row>
    <row r="102" spans="1:63" ht="27" customHeight="1" x14ac:dyDescent="0.25">
      <c r="A102" s="38">
        <v>99</v>
      </c>
      <c r="B102" s="38" t="s">
        <v>379</v>
      </c>
      <c r="C102" s="38" t="s">
        <v>384</v>
      </c>
      <c r="D102" s="38">
        <v>24.214980000000001</v>
      </c>
      <c r="E102" s="38">
        <v>55.760272000000001</v>
      </c>
      <c r="F102" s="38" t="s">
        <v>165</v>
      </c>
      <c r="G102" s="38" t="s">
        <v>166</v>
      </c>
      <c r="H102" s="38"/>
      <c r="I102" s="38" t="s">
        <v>170</v>
      </c>
      <c r="J102" s="38" t="s">
        <v>23</v>
      </c>
      <c r="K102" s="61" t="s">
        <v>385</v>
      </c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7" t="s">
        <v>167</v>
      </c>
      <c r="AN102" s="49" t="s">
        <v>576</v>
      </c>
      <c r="AO102" s="37" t="s">
        <v>576</v>
      </c>
      <c r="AP102" s="50" t="s">
        <v>577</v>
      </c>
      <c r="AQ102" s="37" t="s">
        <v>167</v>
      </c>
      <c r="AR102" s="37" t="s">
        <v>596</v>
      </c>
      <c r="AS102" s="52" t="s">
        <v>582</v>
      </c>
      <c r="AT102" s="51" t="s">
        <v>583</v>
      </c>
      <c r="AU102" s="51" t="s">
        <v>576</v>
      </c>
      <c r="AV102" s="51" t="s">
        <v>576</v>
      </c>
      <c r="AW102" s="37" t="s">
        <v>597</v>
      </c>
      <c r="AX102" s="37" t="s">
        <v>597</v>
      </c>
      <c r="AY102" s="50" t="s">
        <v>580</v>
      </c>
      <c r="AZ102" s="50" t="s">
        <v>580</v>
      </c>
      <c r="BA102" s="37" t="s">
        <v>580</v>
      </c>
      <c r="BB102" s="37" t="s">
        <v>167</v>
      </c>
      <c r="BC102" s="37" t="s">
        <v>596</v>
      </c>
      <c r="BD102" s="37" t="s">
        <v>596</v>
      </c>
      <c r="BE102" s="37" t="s">
        <v>598</v>
      </c>
      <c r="BF102" s="37" t="s">
        <v>599</v>
      </c>
      <c r="BG102" s="39" t="b">
        <f t="shared" si="4"/>
        <v>1</v>
      </c>
      <c r="BH102" s="39" t="str">
        <f t="shared" si="5"/>
        <v>Inadequate Design Capacity</v>
      </c>
      <c r="BI102" s="39" t="b">
        <f t="shared" si="6"/>
        <v>0</v>
      </c>
      <c r="BJ102" t="str">
        <f t="shared" si="7"/>
        <v>CLIENT INPUT REQUIRED</v>
      </c>
      <c r="BK102" s="39" t="str">
        <f>IF(A102="","",IF(BI102&lt;&gt;TRUE(),"No specific plan",IF(ISNUMBER(BJ102),IF(BJ102&lt;'Exec Summary'!$C$4,"Resolved before Feb 2027","Resolved after Feb 2027"),"CLIENT INPUT REQUIRED")))</f>
        <v>No specific plan</v>
      </c>
    </row>
    <row r="103" spans="1:63" ht="27" customHeight="1" x14ac:dyDescent="0.25">
      <c r="A103" s="38">
        <v>100</v>
      </c>
      <c r="B103" s="38" t="s">
        <v>379</v>
      </c>
      <c r="C103" s="38" t="s">
        <v>386</v>
      </c>
      <c r="D103" s="38">
        <v>24.224502834620299</v>
      </c>
      <c r="E103" s="38">
        <v>55.788728542328499</v>
      </c>
      <c r="F103" s="38" t="s">
        <v>165</v>
      </c>
      <c r="G103" s="38" t="s">
        <v>166</v>
      </c>
      <c r="H103" s="38"/>
      <c r="I103" s="38" t="s">
        <v>170</v>
      </c>
      <c r="J103" s="38" t="s">
        <v>23</v>
      </c>
      <c r="K103" s="61" t="s">
        <v>387</v>
      </c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7" t="s">
        <v>167</v>
      </c>
      <c r="AN103" s="49" t="s">
        <v>576</v>
      </c>
      <c r="AO103" s="37" t="s">
        <v>576</v>
      </c>
      <c r="AP103" s="50" t="s">
        <v>577</v>
      </c>
      <c r="AQ103" s="37" t="s">
        <v>167</v>
      </c>
      <c r="AR103" s="37" t="s">
        <v>596</v>
      </c>
      <c r="AS103" s="52" t="s">
        <v>582</v>
      </c>
      <c r="AT103" s="51" t="s">
        <v>583</v>
      </c>
      <c r="AU103" s="51" t="s">
        <v>576</v>
      </c>
      <c r="AV103" s="51" t="s">
        <v>576</v>
      </c>
      <c r="AW103" s="37" t="s">
        <v>597</v>
      </c>
      <c r="AX103" s="37" t="s">
        <v>597</v>
      </c>
      <c r="AY103" s="50" t="s">
        <v>580</v>
      </c>
      <c r="AZ103" s="50" t="s">
        <v>580</v>
      </c>
      <c r="BA103" s="37" t="s">
        <v>580</v>
      </c>
      <c r="BB103" s="37" t="s">
        <v>167</v>
      </c>
      <c r="BC103" s="37" t="s">
        <v>596</v>
      </c>
      <c r="BD103" s="37" t="s">
        <v>596</v>
      </c>
      <c r="BE103" s="37" t="s">
        <v>598</v>
      </c>
      <c r="BF103" s="37" t="s">
        <v>599</v>
      </c>
      <c r="BG103" s="39" t="b">
        <f t="shared" si="4"/>
        <v>1</v>
      </c>
      <c r="BH103" s="39" t="str">
        <f t="shared" si="5"/>
        <v>Inadequate Design Capacity</v>
      </c>
      <c r="BI103" s="39" t="b">
        <f t="shared" si="6"/>
        <v>0</v>
      </c>
      <c r="BJ103" t="str">
        <f t="shared" si="7"/>
        <v>CLIENT INPUT REQUIRED</v>
      </c>
      <c r="BK103" s="39" t="str">
        <f>IF(A103="","",IF(BI103&lt;&gt;TRUE(),"No specific plan",IF(ISNUMBER(BJ103),IF(BJ103&lt;'Exec Summary'!$C$4,"Resolved before Feb 2027","Resolved after Feb 2027"),"CLIENT INPUT REQUIRED")))</f>
        <v>No specific plan</v>
      </c>
    </row>
    <row r="104" spans="1:63" ht="27" customHeight="1" x14ac:dyDescent="0.25">
      <c r="A104" s="38">
        <v>101</v>
      </c>
      <c r="B104" s="38" t="s">
        <v>379</v>
      </c>
      <c r="C104" s="38" t="s">
        <v>388</v>
      </c>
      <c r="D104" s="38">
        <v>24.211939078295199</v>
      </c>
      <c r="E104" s="38">
        <v>55.794170357130099</v>
      </c>
      <c r="F104" s="38" t="s">
        <v>165</v>
      </c>
      <c r="G104" s="38" t="s">
        <v>166</v>
      </c>
      <c r="H104" s="38"/>
      <c r="I104" s="38" t="s">
        <v>170</v>
      </c>
      <c r="J104" s="38" t="s">
        <v>23</v>
      </c>
      <c r="K104" s="61" t="s">
        <v>389</v>
      </c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7" t="s">
        <v>167</v>
      </c>
      <c r="AN104" s="49" t="s">
        <v>576</v>
      </c>
      <c r="AO104" s="37" t="s">
        <v>576</v>
      </c>
      <c r="AP104" s="50" t="s">
        <v>577</v>
      </c>
      <c r="AQ104" s="37" t="s">
        <v>167</v>
      </c>
      <c r="AR104" s="37" t="s">
        <v>596</v>
      </c>
      <c r="AS104" s="52" t="s">
        <v>582</v>
      </c>
      <c r="AT104" s="51" t="s">
        <v>583</v>
      </c>
      <c r="AU104" s="51" t="s">
        <v>576</v>
      </c>
      <c r="AV104" s="51" t="s">
        <v>576</v>
      </c>
      <c r="AW104" s="37" t="s">
        <v>597</v>
      </c>
      <c r="AX104" s="37" t="s">
        <v>597</v>
      </c>
      <c r="AY104" s="50" t="s">
        <v>580</v>
      </c>
      <c r="AZ104" s="50" t="s">
        <v>580</v>
      </c>
      <c r="BA104" s="37" t="s">
        <v>580</v>
      </c>
      <c r="BB104" s="37" t="s">
        <v>167</v>
      </c>
      <c r="BC104" s="37" t="s">
        <v>596</v>
      </c>
      <c r="BD104" s="37" t="s">
        <v>596</v>
      </c>
      <c r="BE104" s="37" t="s">
        <v>598</v>
      </c>
      <c r="BF104" s="37" t="s">
        <v>599</v>
      </c>
      <c r="BG104" s="39" t="b">
        <f t="shared" si="4"/>
        <v>1</v>
      </c>
      <c r="BH104" s="39" t="str">
        <f t="shared" si="5"/>
        <v>Inadequate Design Capacity</v>
      </c>
      <c r="BI104" s="39" t="b">
        <f t="shared" si="6"/>
        <v>0</v>
      </c>
      <c r="BJ104" t="str">
        <f t="shared" si="7"/>
        <v>CLIENT INPUT REQUIRED</v>
      </c>
      <c r="BK104" s="39" t="str">
        <f>IF(A104="","",IF(BI104&lt;&gt;TRUE(),"No specific plan",IF(ISNUMBER(BJ104),IF(BJ104&lt;'Exec Summary'!$C$4,"Resolved before Feb 2027","Resolved after Feb 2027"),"CLIENT INPUT REQUIRED")))</f>
        <v>No specific plan</v>
      </c>
    </row>
    <row r="105" spans="1:63" ht="27" customHeight="1" x14ac:dyDescent="0.25">
      <c r="A105" s="38">
        <v>102</v>
      </c>
      <c r="B105" s="38" t="s">
        <v>379</v>
      </c>
      <c r="C105" s="38" t="s">
        <v>390</v>
      </c>
      <c r="D105" s="38">
        <v>24.216370000000001</v>
      </c>
      <c r="E105" s="38">
        <v>55.778829999999999</v>
      </c>
      <c r="F105" s="38" t="s">
        <v>165</v>
      </c>
      <c r="G105" s="38" t="s">
        <v>166</v>
      </c>
      <c r="H105" s="38"/>
      <c r="I105" s="38" t="s">
        <v>170</v>
      </c>
      <c r="J105" s="38" t="s">
        <v>23</v>
      </c>
      <c r="K105" s="61" t="s">
        <v>391</v>
      </c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7" t="s">
        <v>167</v>
      </c>
      <c r="AN105" s="49" t="s">
        <v>576</v>
      </c>
      <c r="AO105" s="37" t="s">
        <v>576</v>
      </c>
      <c r="AP105" s="50" t="s">
        <v>577</v>
      </c>
      <c r="AQ105" s="37" t="s">
        <v>167</v>
      </c>
      <c r="AR105" s="37" t="s">
        <v>596</v>
      </c>
      <c r="AS105" s="52" t="s">
        <v>582</v>
      </c>
      <c r="AT105" s="51" t="s">
        <v>583</v>
      </c>
      <c r="AU105" s="51" t="s">
        <v>576</v>
      </c>
      <c r="AV105" s="51" t="s">
        <v>576</v>
      </c>
      <c r="AW105" s="37" t="s">
        <v>597</v>
      </c>
      <c r="AX105" s="37" t="s">
        <v>597</v>
      </c>
      <c r="AY105" s="50" t="s">
        <v>580</v>
      </c>
      <c r="AZ105" s="50" t="s">
        <v>580</v>
      </c>
      <c r="BA105" s="37" t="s">
        <v>580</v>
      </c>
      <c r="BB105" s="37" t="s">
        <v>167</v>
      </c>
      <c r="BC105" s="37" t="s">
        <v>596</v>
      </c>
      <c r="BD105" s="37" t="s">
        <v>596</v>
      </c>
      <c r="BE105" s="37" t="s">
        <v>598</v>
      </c>
      <c r="BF105" s="37" t="s">
        <v>599</v>
      </c>
      <c r="BG105" s="39" t="b">
        <f t="shared" si="4"/>
        <v>1</v>
      </c>
      <c r="BH105" s="39" t="str">
        <f t="shared" si="5"/>
        <v>Inadequate Design Capacity</v>
      </c>
      <c r="BI105" s="39" t="b">
        <f t="shared" si="6"/>
        <v>0</v>
      </c>
      <c r="BJ105" t="str">
        <f t="shared" si="7"/>
        <v>CLIENT INPUT REQUIRED</v>
      </c>
      <c r="BK105" s="39" t="str">
        <f>IF(A105="","",IF(BI105&lt;&gt;TRUE(),"No specific plan",IF(ISNUMBER(BJ105),IF(BJ105&lt;'Exec Summary'!$C$4,"Resolved before Feb 2027","Resolved after Feb 2027"),"CLIENT INPUT REQUIRED")))</f>
        <v>No specific plan</v>
      </c>
    </row>
    <row r="106" spans="1:63" ht="27" customHeight="1" x14ac:dyDescent="0.25">
      <c r="A106" s="38">
        <v>103</v>
      </c>
      <c r="B106" s="38" t="s">
        <v>379</v>
      </c>
      <c r="C106" s="38" t="s">
        <v>392</v>
      </c>
      <c r="D106" s="38">
        <v>24.233524743531401</v>
      </c>
      <c r="E106" s="38">
        <v>55.750368880415202</v>
      </c>
      <c r="F106" s="38" t="s">
        <v>165</v>
      </c>
      <c r="G106" s="38" t="s">
        <v>235</v>
      </c>
      <c r="H106" s="38"/>
      <c r="I106" s="38" t="s">
        <v>167</v>
      </c>
      <c r="J106" s="38" t="s">
        <v>24</v>
      </c>
      <c r="K106" s="61" t="s">
        <v>393</v>
      </c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7" t="s">
        <v>167</v>
      </c>
      <c r="AN106" s="49" t="s">
        <v>576</v>
      </c>
      <c r="AO106" s="37" t="s">
        <v>576</v>
      </c>
      <c r="AP106" s="50" t="s">
        <v>577</v>
      </c>
      <c r="AQ106" s="37" t="s">
        <v>167</v>
      </c>
      <c r="AR106" s="37" t="s">
        <v>596</v>
      </c>
      <c r="AS106" s="51" t="s">
        <v>578</v>
      </c>
      <c r="AT106" s="51" t="s">
        <v>579</v>
      </c>
      <c r="AU106" s="51" t="s">
        <v>576</v>
      </c>
      <c r="AV106" s="51" t="s">
        <v>576</v>
      </c>
      <c r="AW106" s="37" t="s">
        <v>597</v>
      </c>
      <c r="AX106" s="37" t="s">
        <v>597</v>
      </c>
      <c r="AY106" s="50" t="s">
        <v>580</v>
      </c>
      <c r="AZ106" s="50" t="s">
        <v>580</v>
      </c>
      <c r="BA106" s="37" t="s">
        <v>580</v>
      </c>
      <c r="BB106" s="37" t="s">
        <v>167</v>
      </c>
      <c r="BC106" s="37" t="s">
        <v>596</v>
      </c>
      <c r="BD106" s="37" t="s">
        <v>596</v>
      </c>
      <c r="BE106" s="37" t="s">
        <v>598</v>
      </c>
      <c r="BF106" s="37" t="s">
        <v>599</v>
      </c>
      <c r="BG106" s="39" t="b">
        <f t="shared" si="4"/>
        <v>1</v>
      </c>
      <c r="BH106" s="39" t="str">
        <f t="shared" si="5"/>
        <v>Absence of Drainage Network</v>
      </c>
      <c r="BI106" s="39" t="b">
        <f t="shared" si="6"/>
        <v>0</v>
      </c>
      <c r="BJ106" t="str">
        <f t="shared" si="7"/>
        <v>CLIENT INPUT REQUIRED</v>
      </c>
      <c r="BK106" s="39" t="str">
        <f>IF(A106="","",IF(BI106&lt;&gt;TRUE(),"No specific plan",IF(ISNUMBER(BJ106),IF(BJ106&lt;'Exec Summary'!$C$4,"Resolved before Feb 2027","Resolved after Feb 2027"),"CLIENT INPUT REQUIRED")))</f>
        <v>No specific plan</v>
      </c>
    </row>
    <row r="107" spans="1:63" ht="27" customHeight="1" x14ac:dyDescent="0.25">
      <c r="A107" s="38">
        <v>104</v>
      </c>
      <c r="B107" s="38" t="s">
        <v>379</v>
      </c>
      <c r="C107" s="38" t="s">
        <v>394</v>
      </c>
      <c r="D107" s="38" t="s">
        <v>395</v>
      </c>
      <c r="E107" s="38" t="s">
        <v>396</v>
      </c>
      <c r="F107" s="38" t="s">
        <v>165</v>
      </c>
      <c r="G107" s="38" t="s">
        <v>235</v>
      </c>
      <c r="H107" s="38"/>
      <c r="I107" s="38" t="s">
        <v>170</v>
      </c>
      <c r="J107" s="38" t="s">
        <v>23</v>
      </c>
      <c r="K107" s="61" t="s">
        <v>397</v>
      </c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7" t="s">
        <v>170</v>
      </c>
      <c r="AN107" s="49" t="s">
        <v>581</v>
      </c>
      <c r="AO107" s="37" t="s">
        <v>581</v>
      </c>
      <c r="AP107" s="50" t="s">
        <v>577</v>
      </c>
      <c r="AQ107" s="37" t="s">
        <v>167</v>
      </c>
      <c r="AR107" s="37" t="s">
        <v>596</v>
      </c>
      <c r="AS107" s="52" t="s">
        <v>582</v>
      </c>
      <c r="AT107" s="51" t="s">
        <v>583</v>
      </c>
      <c r="AU107" s="52" t="s">
        <v>584</v>
      </c>
      <c r="AV107" s="51" t="s">
        <v>585</v>
      </c>
      <c r="AW107" s="37" t="s">
        <v>597</v>
      </c>
      <c r="AX107" s="37" t="s">
        <v>597</v>
      </c>
      <c r="AY107" s="53">
        <v>46388</v>
      </c>
      <c r="AZ107" s="53">
        <v>46905</v>
      </c>
      <c r="BA107" s="37" t="s">
        <v>600</v>
      </c>
      <c r="BB107" s="37" t="s">
        <v>170</v>
      </c>
      <c r="BC107" s="37" t="s">
        <v>596</v>
      </c>
      <c r="BD107" s="37" t="s">
        <v>596</v>
      </c>
      <c r="BE107" s="37" t="s">
        <v>598</v>
      </c>
      <c r="BF107" s="37" t="s">
        <v>599</v>
      </c>
      <c r="BG107" s="39" t="b">
        <f t="shared" si="4"/>
        <v>1</v>
      </c>
      <c r="BH107" s="39" t="str">
        <f t="shared" si="5"/>
        <v>Inadequate Design Capacity</v>
      </c>
      <c r="BI107" s="39" t="b">
        <f t="shared" si="6"/>
        <v>0</v>
      </c>
      <c r="BJ107">
        <f t="shared" si="7"/>
        <v>46905</v>
      </c>
      <c r="BK107" s="39" t="str">
        <f>IF(A107="","",IF(BI107&lt;&gt;TRUE(),"No specific plan",IF(ISNUMBER(BJ107),IF(BJ107&lt;'Exec Summary'!$C$4,"Resolved before Feb 2027","Resolved after Feb 2027"),"CLIENT INPUT REQUIRED")))</f>
        <v>No specific plan</v>
      </c>
    </row>
    <row r="108" spans="1:63" ht="27" customHeight="1" x14ac:dyDescent="0.25">
      <c r="A108" s="38">
        <v>105</v>
      </c>
      <c r="B108" s="38" t="s">
        <v>379</v>
      </c>
      <c r="C108" s="38" t="s">
        <v>394</v>
      </c>
      <c r="D108" s="38" t="s">
        <v>398</v>
      </c>
      <c r="E108" s="38" t="s">
        <v>399</v>
      </c>
      <c r="F108" s="38" t="s">
        <v>165</v>
      </c>
      <c r="G108" s="38" t="s">
        <v>235</v>
      </c>
      <c r="H108" s="38"/>
      <c r="I108" s="38" t="s">
        <v>170</v>
      </c>
      <c r="J108" s="38" t="s">
        <v>23</v>
      </c>
      <c r="K108" s="61" t="s">
        <v>397</v>
      </c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7" t="s">
        <v>167</v>
      </c>
      <c r="AN108" s="49" t="s">
        <v>576</v>
      </c>
      <c r="AO108" s="37" t="s">
        <v>576</v>
      </c>
      <c r="AP108" s="50" t="s">
        <v>577</v>
      </c>
      <c r="AQ108" s="37" t="s">
        <v>167</v>
      </c>
      <c r="AR108" s="37" t="s">
        <v>596</v>
      </c>
      <c r="AS108" s="52" t="s">
        <v>582</v>
      </c>
      <c r="AT108" s="51" t="s">
        <v>583</v>
      </c>
      <c r="AU108" s="51" t="s">
        <v>576</v>
      </c>
      <c r="AV108" s="51" t="s">
        <v>576</v>
      </c>
      <c r="AW108" s="37" t="s">
        <v>597</v>
      </c>
      <c r="AX108" s="37" t="s">
        <v>597</v>
      </c>
      <c r="AY108" s="50" t="s">
        <v>580</v>
      </c>
      <c r="AZ108" s="50" t="s">
        <v>580</v>
      </c>
      <c r="BA108" s="37" t="s">
        <v>580</v>
      </c>
      <c r="BB108" s="37" t="s">
        <v>167</v>
      </c>
      <c r="BC108" s="37" t="s">
        <v>596</v>
      </c>
      <c r="BD108" s="37" t="s">
        <v>596</v>
      </c>
      <c r="BE108" s="37" t="s">
        <v>598</v>
      </c>
      <c r="BF108" s="37" t="s">
        <v>599</v>
      </c>
      <c r="BG108" s="39" t="b">
        <f t="shared" si="4"/>
        <v>1</v>
      </c>
      <c r="BH108" s="39" t="str">
        <f t="shared" si="5"/>
        <v>Inadequate Design Capacity</v>
      </c>
      <c r="BI108" s="39" t="b">
        <f t="shared" si="6"/>
        <v>0</v>
      </c>
      <c r="BJ108" t="str">
        <f t="shared" si="7"/>
        <v>CLIENT INPUT REQUIRED</v>
      </c>
      <c r="BK108" s="39" t="str">
        <f>IF(A108="","",IF(BI108&lt;&gt;TRUE(),"No specific plan",IF(ISNUMBER(BJ108),IF(BJ108&lt;'Exec Summary'!$C$4,"Resolved before Feb 2027","Resolved after Feb 2027"),"CLIENT INPUT REQUIRED")))</f>
        <v>No specific plan</v>
      </c>
    </row>
    <row r="109" spans="1:63" ht="27" customHeight="1" x14ac:dyDescent="0.25">
      <c r="A109" s="38">
        <v>106</v>
      </c>
      <c r="B109" s="38" t="s">
        <v>379</v>
      </c>
      <c r="C109" s="38" t="s">
        <v>400</v>
      </c>
      <c r="D109" s="38">
        <v>24.225868960089301</v>
      </c>
      <c r="E109" s="38">
        <v>55.754156849075599</v>
      </c>
      <c r="F109" s="38" t="s">
        <v>165</v>
      </c>
      <c r="G109" s="38" t="s">
        <v>235</v>
      </c>
      <c r="H109" s="38"/>
      <c r="I109" s="38" t="s">
        <v>170</v>
      </c>
      <c r="J109" s="38" t="s">
        <v>23</v>
      </c>
      <c r="K109" s="61" t="s">
        <v>401</v>
      </c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7" t="s">
        <v>167</v>
      </c>
      <c r="AN109" s="49" t="s">
        <v>576</v>
      </c>
      <c r="AO109" s="37" t="s">
        <v>576</v>
      </c>
      <c r="AP109" s="50" t="s">
        <v>577</v>
      </c>
      <c r="AQ109" s="37" t="s">
        <v>167</v>
      </c>
      <c r="AR109" s="37" t="s">
        <v>596</v>
      </c>
      <c r="AS109" s="52" t="s">
        <v>582</v>
      </c>
      <c r="AT109" s="51" t="s">
        <v>583</v>
      </c>
      <c r="AU109" s="51" t="s">
        <v>576</v>
      </c>
      <c r="AV109" s="51" t="s">
        <v>576</v>
      </c>
      <c r="AW109" s="37" t="s">
        <v>597</v>
      </c>
      <c r="AX109" s="37" t="s">
        <v>597</v>
      </c>
      <c r="AY109" s="50" t="s">
        <v>580</v>
      </c>
      <c r="AZ109" s="50" t="s">
        <v>580</v>
      </c>
      <c r="BA109" s="37" t="s">
        <v>580</v>
      </c>
      <c r="BB109" s="37" t="s">
        <v>167</v>
      </c>
      <c r="BC109" s="37" t="s">
        <v>596</v>
      </c>
      <c r="BD109" s="37" t="s">
        <v>596</v>
      </c>
      <c r="BE109" s="37" t="s">
        <v>598</v>
      </c>
      <c r="BF109" s="37" t="s">
        <v>599</v>
      </c>
      <c r="BG109" s="39" t="b">
        <f t="shared" si="4"/>
        <v>1</v>
      </c>
      <c r="BH109" s="39" t="str">
        <f t="shared" si="5"/>
        <v>Inadequate Design Capacity</v>
      </c>
      <c r="BI109" s="39" t="b">
        <f t="shared" si="6"/>
        <v>0</v>
      </c>
      <c r="BJ109" t="str">
        <f t="shared" si="7"/>
        <v>CLIENT INPUT REQUIRED</v>
      </c>
      <c r="BK109" s="39" t="str">
        <f>IF(A109="","",IF(BI109&lt;&gt;TRUE(),"No specific plan",IF(ISNUMBER(BJ109),IF(BJ109&lt;'Exec Summary'!$C$4,"Resolved before Feb 2027","Resolved after Feb 2027"),"CLIENT INPUT REQUIRED")))</f>
        <v>No specific plan</v>
      </c>
    </row>
    <row r="110" spans="1:63" ht="27" customHeight="1" x14ac:dyDescent="0.25">
      <c r="A110" s="38">
        <v>107</v>
      </c>
      <c r="B110" s="38" t="s">
        <v>379</v>
      </c>
      <c r="C110" s="38" t="s">
        <v>402</v>
      </c>
      <c r="D110" s="38">
        <v>24.229502825783701</v>
      </c>
      <c r="E110" s="38">
        <v>55.7594030374309</v>
      </c>
      <c r="F110" s="38" t="s">
        <v>165</v>
      </c>
      <c r="G110" s="38" t="s">
        <v>235</v>
      </c>
      <c r="H110" s="38"/>
      <c r="I110" s="38" t="s">
        <v>170</v>
      </c>
      <c r="J110" s="38" t="s">
        <v>23</v>
      </c>
      <c r="K110" s="61" t="s">
        <v>403</v>
      </c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7" t="s">
        <v>170</v>
      </c>
      <c r="AN110" s="49" t="s">
        <v>581</v>
      </c>
      <c r="AO110" s="37" t="s">
        <v>581</v>
      </c>
      <c r="AP110" s="50" t="s">
        <v>577</v>
      </c>
      <c r="AQ110" s="37" t="s">
        <v>167</v>
      </c>
      <c r="AR110" s="37" t="s">
        <v>596</v>
      </c>
      <c r="AS110" s="52" t="s">
        <v>582</v>
      </c>
      <c r="AT110" s="51" t="s">
        <v>583</v>
      </c>
      <c r="AU110" s="52" t="s">
        <v>584</v>
      </c>
      <c r="AV110" s="51" t="s">
        <v>585</v>
      </c>
      <c r="AW110" s="37" t="s">
        <v>597</v>
      </c>
      <c r="AX110" s="37" t="s">
        <v>597</v>
      </c>
      <c r="AY110" s="53">
        <v>46388</v>
      </c>
      <c r="AZ110" s="53">
        <v>47088</v>
      </c>
      <c r="BA110" s="37" t="s">
        <v>600</v>
      </c>
      <c r="BB110" s="37" t="s">
        <v>170</v>
      </c>
      <c r="BC110" s="37" t="s">
        <v>596</v>
      </c>
      <c r="BD110" s="37" t="s">
        <v>596</v>
      </c>
      <c r="BE110" s="37" t="s">
        <v>598</v>
      </c>
      <c r="BF110" s="37" t="s">
        <v>599</v>
      </c>
      <c r="BG110" s="39" t="b">
        <f t="shared" si="4"/>
        <v>1</v>
      </c>
      <c r="BH110" s="39" t="str">
        <f t="shared" si="5"/>
        <v>Inadequate Design Capacity</v>
      </c>
      <c r="BI110" s="39" t="b">
        <f t="shared" si="6"/>
        <v>0</v>
      </c>
      <c r="BJ110">
        <f t="shared" si="7"/>
        <v>47088</v>
      </c>
      <c r="BK110" s="39" t="str">
        <f>IF(A110="","",IF(BI110&lt;&gt;TRUE(),"No specific plan",IF(ISNUMBER(BJ110),IF(BJ110&lt;'Exec Summary'!$C$4,"Resolved before Feb 2027","Resolved after Feb 2027"),"CLIENT INPUT REQUIRED")))</f>
        <v>No specific plan</v>
      </c>
    </row>
    <row r="111" spans="1:63" ht="27" customHeight="1" x14ac:dyDescent="0.25">
      <c r="A111" s="38">
        <v>108</v>
      </c>
      <c r="B111" s="38" t="s">
        <v>379</v>
      </c>
      <c r="C111" s="38" t="s">
        <v>404</v>
      </c>
      <c r="D111" s="38">
        <v>24.232311690566799</v>
      </c>
      <c r="E111" s="38">
        <v>55.757383668386403</v>
      </c>
      <c r="F111" s="38" t="s">
        <v>165</v>
      </c>
      <c r="G111" s="38" t="s">
        <v>166</v>
      </c>
      <c r="H111" s="38"/>
      <c r="I111" s="38" t="s">
        <v>170</v>
      </c>
      <c r="J111" s="38" t="s">
        <v>23</v>
      </c>
      <c r="K111" s="61" t="s">
        <v>405</v>
      </c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7" t="s">
        <v>167</v>
      </c>
      <c r="AN111" s="49" t="s">
        <v>576</v>
      </c>
      <c r="AO111" s="37" t="s">
        <v>576</v>
      </c>
      <c r="AP111" s="50" t="s">
        <v>577</v>
      </c>
      <c r="AQ111" s="37" t="s">
        <v>167</v>
      </c>
      <c r="AR111" s="37" t="s">
        <v>596</v>
      </c>
      <c r="AS111" s="52" t="s">
        <v>582</v>
      </c>
      <c r="AT111" s="51" t="s">
        <v>583</v>
      </c>
      <c r="AU111" s="51" t="s">
        <v>576</v>
      </c>
      <c r="AV111" s="51" t="s">
        <v>576</v>
      </c>
      <c r="AW111" s="37" t="s">
        <v>597</v>
      </c>
      <c r="AX111" s="37" t="s">
        <v>597</v>
      </c>
      <c r="AY111" s="50" t="s">
        <v>580</v>
      </c>
      <c r="AZ111" s="50" t="s">
        <v>580</v>
      </c>
      <c r="BA111" s="37" t="s">
        <v>580</v>
      </c>
      <c r="BB111" s="37" t="s">
        <v>167</v>
      </c>
      <c r="BC111" s="37" t="s">
        <v>596</v>
      </c>
      <c r="BD111" s="37" t="s">
        <v>596</v>
      </c>
      <c r="BE111" s="37" t="s">
        <v>598</v>
      </c>
      <c r="BF111" s="37" t="s">
        <v>599</v>
      </c>
      <c r="BG111" s="39" t="b">
        <f t="shared" si="4"/>
        <v>1</v>
      </c>
      <c r="BH111" s="39" t="str">
        <f t="shared" si="5"/>
        <v>Inadequate Design Capacity</v>
      </c>
      <c r="BI111" s="39" t="b">
        <f t="shared" si="6"/>
        <v>0</v>
      </c>
      <c r="BJ111" t="str">
        <f t="shared" si="7"/>
        <v>CLIENT INPUT REQUIRED</v>
      </c>
      <c r="BK111" s="39" t="str">
        <f>IF(A111="","",IF(BI111&lt;&gt;TRUE(),"No specific plan",IF(ISNUMBER(BJ111),IF(BJ111&lt;'Exec Summary'!$C$4,"Resolved before Feb 2027","Resolved after Feb 2027"),"CLIENT INPUT REQUIRED")))</f>
        <v>No specific plan</v>
      </c>
    </row>
    <row r="112" spans="1:63" ht="27" customHeight="1" x14ac:dyDescent="0.25">
      <c r="A112" s="38">
        <v>109</v>
      </c>
      <c r="B112" s="38" t="s">
        <v>379</v>
      </c>
      <c r="C112" s="38" t="s">
        <v>406</v>
      </c>
      <c r="D112" s="38">
        <v>24.228574999999999</v>
      </c>
      <c r="E112" s="38">
        <v>55.754077000000002</v>
      </c>
      <c r="F112" s="38" t="s">
        <v>165</v>
      </c>
      <c r="G112" s="38" t="s">
        <v>235</v>
      </c>
      <c r="H112" s="38"/>
      <c r="I112" s="38" t="s">
        <v>170</v>
      </c>
      <c r="J112" s="38" t="s">
        <v>23</v>
      </c>
      <c r="K112" s="61" t="s">
        <v>407</v>
      </c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7" t="s">
        <v>167</v>
      </c>
      <c r="AN112" s="49" t="s">
        <v>576</v>
      </c>
      <c r="AO112" s="37" t="s">
        <v>576</v>
      </c>
      <c r="AP112" s="50" t="s">
        <v>577</v>
      </c>
      <c r="AQ112" s="37" t="s">
        <v>167</v>
      </c>
      <c r="AR112" s="37" t="s">
        <v>596</v>
      </c>
      <c r="AS112" s="52" t="s">
        <v>582</v>
      </c>
      <c r="AT112" s="51" t="s">
        <v>583</v>
      </c>
      <c r="AU112" s="51" t="s">
        <v>576</v>
      </c>
      <c r="AV112" s="51" t="s">
        <v>576</v>
      </c>
      <c r="AW112" s="37" t="s">
        <v>597</v>
      </c>
      <c r="AX112" s="37" t="s">
        <v>597</v>
      </c>
      <c r="AY112" s="50" t="s">
        <v>580</v>
      </c>
      <c r="AZ112" s="50" t="s">
        <v>580</v>
      </c>
      <c r="BA112" s="37" t="s">
        <v>580</v>
      </c>
      <c r="BB112" s="37" t="s">
        <v>167</v>
      </c>
      <c r="BC112" s="37" t="s">
        <v>596</v>
      </c>
      <c r="BD112" s="37" t="s">
        <v>596</v>
      </c>
      <c r="BE112" s="37" t="s">
        <v>598</v>
      </c>
      <c r="BF112" s="37" t="s">
        <v>599</v>
      </c>
      <c r="BG112" s="39" t="b">
        <f t="shared" si="4"/>
        <v>1</v>
      </c>
      <c r="BH112" s="39" t="str">
        <f t="shared" si="5"/>
        <v>Inadequate Design Capacity</v>
      </c>
      <c r="BI112" s="39" t="b">
        <f t="shared" si="6"/>
        <v>0</v>
      </c>
      <c r="BJ112" t="str">
        <f t="shared" si="7"/>
        <v>CLIENT INPUT REQUIRED</v>
      </c>
      <c r="BK112" s="39" t="str">
        <f>IF(A112="","",IF(BI112&lt;&gt;TRUE(),"No specific plan",IF(ISNUMBER(BJ112),IF(BJ112&lt;'Exec Summary'!$C$4,"Resolved before Feb 2027","Resolved after Feb 2027"),"CLIENT INPUT REQUIRED")))</f>
        <v>No specific plan</v>
      </c>
    </row>
    <row r="113" spans="1:63" ht="27" customHeight="1" x14ac:dyDescent="0.25">
      <c r="A113" s="38">
        <v>110</v>
      </c>
      <c r="B113" s="38" t="s">
        <v>379</v>
      </c>
      <c r="C113" s="38" t="s">
        <v>408</v>
      </c>
      <c r="D113" s="38">
        <v>24.233035000000001</v>
      </c>
      <c r="E113" s="38">
        <v>55.755065999999999</v>
      </c>
      <c r="F113" s="38" t="s">
        <v>165</v>
      </c>
      <c r="G113" s="38" t="s">
        <v>166</v>
      </c>
      <c r="H113" s="38"/>
      <c r="I113" s="38" t="s">
        <v>167</v>
      </c>
      <c r="J113" s="38" t="s">
        <v>24</v>
      </c>
      <c r="K113" s="61" t="s">
        <v>409</v>
      </c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7" t="s">
        <v>167</v>
      </c>
      <c r="AN113" s="49" t="s">
        <v>576</v>
      </c>
      <c r="AO113" s="37" t="s">
        <v>576</v>
      </c>
      <c r="AP113" s="50" t="s">
        <v>577</v>
      </c>
      <c r="AQ113" s="37" t="s">
        <v>167</v>
      </c>
      <c r="AR113" s="37" t="s">
        <v>596</v>
      </c>
      <c r="AS113" s="51" t="s">
        <v>578</v>
      </c>
      <c r="AT113" s="51" t="s">
        <v>579</v>
      </c>
      <c r="AU113" s="51" t="s">
        <v>576</v>
      </c>
      <c r="AV113" s="51" t="s">
        <v>576</v>
      </c>
      <c r="AW113" s="37" t="s">
        <v>597</v>
      </c>
      <c r="AX113" s="37" t="s">
        <v>597</v>
      </c>
      <c r="AY113" s="50" t="s">
        <v>580</v>
      </c>
      <c r="AZ113" s="50" t="s">
        <v>580</v>
      </c>
      <c r="BA113" s="37" t="s">
        <v>580</v>
      </c>
      <c r="BB113" s="37" t="s">
        <v>167</v>
      </c>
      <c r="BC113" s="37" t="s">
        <v>596</v>
      </c>
      <c r="BD113" s="37" t="s">
        <v>596</v>
      </c>
      <c r="BE113" s="37" t="s">
        <v>598</v>
      </c>
      <c r="BF113" s="37" t="s">
        <v>599</v>
      </c>
      <c r="BG113" s="39" t="b">
        <f t="shared" si="4"/>
        <v>1</v>
      </c>
      <c r="BH113" s="39" t="str">
        <f t="shared" si="5"/>
        <v>Absence of Drainage Network</v>
      </c>
      <c r="BI113" s="39" t="b">
        <f t="shared" si="6"/>
        <v>0</v>
      </c>
      <c r="BJ113" t="str">
        <f t="shared" si="7"/>
        <v>CLIENT INPUT REQUIRED</v>
      </c>
      <c r="BK113" s="39" t="str">
        <f>IF(A113="","",IF(BI113&lt;&gt;TRUE(),"No specific plan",IF(ISNUMBER(BJ113),IF(BJ113&lt;'Exec Summary'!$C$4,"Resolved before Feb 2027","Resolved after Feb 2027"),"CLIENT INPUT REQUIRED")))</f>
        <v>No specific plan</v>
      </c>
    </row>
    <row r="114" spans="1:63" ht="27" customHeight="1" x14ac:dyDescent="0.25">
      <c r="A114" s="38">
        <v>111</v>
      </c>
      <c r="B114" s="38" t="s">
        <v>410</v>
      </c>
      <c r="C114" s="38" t="s">
        <v>411</v>
      </c>
      <c r="D114" s="38" t="s">
        <v>412</v>
      </c>
      <c r="E114" s="38" t="s">
        <v>413</v>
      </c>
      <c r="F114" s="38" t="s">
        <v>14</v>
      </c>
      <c r="G114" s="38" t="s">
        <v>235</v>
      </c>
      <c r="H114" s="38"/>
      <c r="I114" s="38" t="s">
        <v>170</v>
      </c>
      <c r="J114" s="38" t="s">
        <v>23</v>
      </c>
      <c r="K114" s="61" t="s">
        <v>414</v>
      </c>
      <c r="L114" s="38"/>
      <c r="M114" s="38"/>
      <c r="N114" s="38"/>
      <c r="O114" s="38"/>
      <c r="P114" s="38">
        <v>0</v>
      </c>
      <c r="Q114" s="38"/>
      <c r="R114" s="38"/>
      <c r="S114" s="38"/>
      <c r="T114" s="38"/>
      <c r="U114" s="38"/>
      <c r="V114" s="38"/>
      <c r="W114" s="38"/>
      <c r="X114" s="38"/>
      <c r="Y114" s="38"/>
      <c r="Z114" s="38">
        <v>0</v>
      </c>
      <c r="AA114" s="38">
        <v>1</v>
      </c>
      <c r="AB114" s="38">
        <v>5000</v>
      </c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7" t="s">
        <v>167</v>
      </c>
      <c r="AN114" s="49" t="s">
        <v>576</v>
      </c>
      <c r="AO114" s="37" t="s">
        <v>576</v>
      </c>
      <c r="AP114" s="50" t="s">
        <v>577</v>
      </c>
      <c r="AQ114" s="37" t="s">
        <v>167</v>
      </c>
      <c r="AR114" s="37" t="s">
        <v>596</v>
      </c>
      <c r="AS114" s="52" t="s">
        <v>582</v>
      </c>
      <c r="AT114" s="51" t="s">
        <v>583</v>
      </c>
      <c r="AU114" s="51" t="s">
        <v>576</v>
      </c>
      <c r="AV114" s="51" t="s">
        <v>576</v>
      </c>
      <c r="AW114" s="37" t="s">
        <v>597</v>
      </c>
      <c r="AX114" s="37" t="s">
        <v>597</v>
      </c>
      <c r="AY114" s="50" t="s">
        <v>580</v>
      </c>
      <c r="AZ114" s="50" t="s">
        <v>580</v>
      </c>
      <c r="BA114" s="37" t="s">
        <v>580</v>
      </c>
      <c r="BB114" s="37" t="s">
        <v>167</v>
      </c>
      <c r="BC114" s="37" t="s">
        <v>596</v>
      </c>
      <c r="BD114" s="37" t="s">
        <v>596</v>
      </c>
      <c r="BE114" s="37" t="s">
        <v>598</v>
      </c>
      <c r="BF114" s="37" t="s">
        <v>599</v>
      </c>
      <c r="BG114" s="39" t="b">
        <f t="shared" si="4"/>
        <v>1</v>
      </c>
      <c r="BH114" s="39" t="str">
        <f t="shared" si="5"/>
        <v>Inadequate Design Capacity</v>
      </c>
      <c r="BI114" s="39" t="b">
        <f t="shared" si="6"/>
        <v>0</v>
      </c>
      <c r="BJ114" t="str">
        <f t="shared" si="7"/>
        <v>CLIENT INPUT REQUIRED</v>
      </c>
      <c r="BK114" s="39" t="str">
        <f>IF(A114="","",IF(BI114&lt;&gt;TRUE(),"No specific plan",IF(ISNUMBER(BJ114),IF(BJ114&lt;'Exec Summary'!$C$4,"Resolved before Feb 2027","Resolved after Feb 2027"),"CLIENT INPUT REQUIRED")))</f>
        <v>No specific plan</v>
      </c>
    </row>
    <row r="115" spans="1:63" ht="27" customHeight="1" x14ac:dyDescent="0.25">
      <c r="A115" s="38">
        <v>112</v>
      </c>
      <c r="B115" s="38" t="s">
        <v>410</v>
      </c>
      <c r="C115" s="38" t="s">
        <v>411</v>
      </c>
      <c r="D115" s="38" t="s">
        <v>415</v>
      </c>
      <c r="E115" s="38" t="s">
        <v>416</v>
      </c>
      <c r="F115" s="38" t="s">
        <v>13</v>
      </c>
      <c r="G115" s="38" t="s">
        <v>235</v>
      </c>
      <c r="H115" s="38"/>
      <c r="I115" s="38" t="s">
        <v>170</v>
      </c>
      <c r="J115" s="38" t="s">
        <v>23</v>
      </c>
      <c r="K115" s="61" t="s">
        <v>414</v>
      </c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7" t="s">
        <v>167</v>
      </c>
      <c r="AN115" s="49" t="s">
        <v>576</v>
      </c>
      <c r="AO115" s="37" t="s">
        <v>576</v>
      </c>
      <c r="AP115" s="50" t="s">
        <v>577</v>
      </c>
      <c r="AQ115" s="37" t="s">
        <v>167</v>
      </c>
      <c r="AR115" s="37" t="s">
        <v>596</v>
      </c>
      <c r="AS115" s="52" t="s">
        <v>582</v>
      </c>
      <c r="AT115" s="51" t="s">
        <v>583</v>
      </c>
      <c r="AU115" s="51" t="s">
        <v>576</v>
      </c>
      <c r="AV115" s="51" t="s">
        <v>576</v>
      </c>
      <c r="AW115" s="37" t="s">
        <v>597</v>
      </c>
      <c r="AX115" s="37" t="s">
        <v>597</v>
      </c>
      <c r="AY115" s="50" t="s">
        <v>580</v>
      </c>
      <c r="AZ115" s="50" t="s">
        <v>580</v>
      </c>
      <c r="BA115" s="37" t="s">
        <v>580</v>
      </c>
      <c r="BB115" s="37" t="s">
        <v>167</v>
      </c>
      <c r="BC115" s="37" t="s">
        <v>596</v>
      </c>
      <c r="BD115" s="37" t="s">
        <v>596</v>
      </c>
      <c r="BE115" s="37" t="s">
        <v>598</v>
      </c>
      <c r="BF115" s="37" t="s">
        <v>599</v>
      </c>
      <c r="BG115" s="39" t="b">
        <f t="shared" si="4"/>
        <v>1</v>
      </c>
      <c r="BH115" s="39" t="str">
        <f t="shared" si="5"/>
        <v>Inadequate Design Capacity</v>
      </c>
      <c r="BI115" s="39" t="b">
        <f t="shared" si="6"/>
        <v>0</v>
      </c>
      <c r="BJ115" t="str">
        <f t="shared" si="7"/>
        <v>CLIENT INPUT REQUIRED</v>
      </c>
      <c r="BK115" s="39" t="str">
        <f>IF(A115="","",IF(BI115&lt;&gt;TRUE(),"No specific plan",IF(ISNUMBER(BJ115),IF(BJ115&lt;'Exec Summary'!$C$4,"Resolved before Feb 2027","Resolved after Feb 2027"),"CLIENT INPUT REQUIRED")))</f>
        <v>No specific plan</v>
      </c>
    </row>
    <row r="116" spans="1:63" ht="27" customHeight="1" x14ac:dyDescent="0.25">
      <c r="A116" s="38">
        <v>113</v>
      </c>
      <c r="B116" s="38" t="s">
        <v>410</v>
      </c>
      <c r="C116" s="38" t="s">
        <v>417</v>
      </c>
      <c r="D116" s="38">
        <v>24.174447627698001</v>
      </c>
      <c r="E116" s="38">
        <v>55.718743657671403</v>
      </c>
      <c r="F116" s="38" t="s">
        <v>14</v>
      </c>
      <c r="G116" s="38" t="s">
        <v>166</v>
      </c>
      <c r="H116" s="38"/>
      <c r="I116" s="38" t="s">
        <v>170</v>
      </c>
      <c r="J116" s="38" t="s">
        <v>23</v>
      </c>
      <c r="K116" s="61" t="s">
        <v>418</v>
      </c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7" t="s">
        <v>167</v>
      </c>
      <c r="AN116" s="49" t="s">
        <v>576</v>
      </c>
      <c r="AO116" s="37" t="s">
        <v>576</v>
      </c>
      <c r="AP116" s="50" t="s">
        <v>577</v>
      </c>
      <c r="AQ116" s="37" t="s">
        <v>167</v>
      </c>
      <c r="AR116" s="37" t="s">
        <v>596</v>
      </c>
      <c r="AS116" s="52" t="s">
        <v>582</v>
      </c>
      <c r="AT116" s="51" t="s">
        <v>583</v>
      </c>
      <c r="AU116" s="51" t="s">
        <v>576</v>
      </c>
      <c r="AV116" s="51" t="s">
        <v>576</v>
      </c>
      <c r="AW116" s="37" t="s">
        <v>597</v>
      </c>
      <c r="AX116" s="37" t="s">
        <v>597</v>
      </c>
      <c r="AY116" s="50" t="s">
        <v>580</v>
      </c>
      <c r="AZ116" s="50" t="s">
        <v>580</v>
      </c>
      <c r="BA116" s="37" t="s">
        <v>580</v>
      </c>
      <c r="BB116" s="37" t="s">
        <v>167</v>
      </c>
      <c r="BC116" s="37" t="s">
        <v>596</v>
      </c>
      <c r="BD116" s="37" t="s">
        <v>596</v>
      </c>
      <c r="BE116" s="37" t="s">
        <v>598</v>
      </c>
      <c r="BF116" s="37" t="s">
        <v>599</v>
      </c>
      <c r="BG116" s="39" t="b">
        <f t="shared" si="4"/>
        <v>1</v>
      </c>
      <c r="BH116" s="39" t="str">
        <f t="shared" si="5"/>
        <v>Inadequate Design Capacity</v>
      </c>
      <c r="BI116" s="39" t="b">
        <f t="shared" si="6"/>
        <v>0</v>
      </c>
      <c r="BJ116" t="str">
        <f t="shared" si="7"/>
        <v>CLIENT INPUT REQUIRED</v>
      </c>
      <c r="BK116" s="39" t="str">
        <f>IF(A116="","",IF(BI116&lt;&gt;TRUE(),"No specific plan",IF(ISNUMBER(BJ116),IF(BJ116&lt;'Exec Summary'!$C$4,"Resolved before Feb 2027","Resolved after Feb 2027"),"CLIENT INPUT REQUIRED")))</f>
        <v>No specific plan</v>
      </c>
    </row>
    <row r="117" spans="1:63" ht="27" customHeight="1" x14ac:dyDescent="0.25">
      <c r="A117" s="38">
        <v>114</v>
      </c>
      <c r="B117" s="38" t="s">
        <v>410</v>
      </c>
      <c r="C117" s="38" t="s">
        <v>419</v>
      </c>
      <c r="D117" s="38">
        <v>24.168274076075701</v>
      </c>
      <c r="E117" s="38">
        <v>55.710914744178702</v>
      </c>
      <c r="F117" s="38" t="s">
        <v>14</v>
      </c>
      <c r="G117" s="38" t="s">
        <v>166</v>
      </c>
      <c r="H117" s="38"/>
      <c r="I117" s="38" t="s">
        <v>170</v>
      </c>
      <c r="J117" s="38" t="s">
        <v>23</v>
      </c>
      <c r="K117" s="61" t="s">
        <v>420</v>
      </c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7" t="s">
        <v>170</v>
      </c>
      <c r="AN117" s="49" t="s">
        <v>581</v>
      </c>
      <c r="AO117" s="37" t="s">
        <v>581</v>
      </c>
      <c r="AP117" s="50" t="s">
        <v>577</v>
      </c>
      <c r="AQ117" s="37" t="s">
        <v>167</v>
      </c>
      <c r="AR117" s="37" t="s">
        <v>596</v>
      </c>
      <c r="AS117" s="52" t="s">
        <v>582</v>
      </c>
      <c r="AT117" s="51" t="s">
        <v>583</v>
      </c>
      <c r="AU117" s="52" t="s">
        <v>584</v>
      </c>
      <c r="AV117" s="51" t="s">
        <v>585</v>
      </c>
      <c r="AW117" s="37" t="s">
        <v>597</v>
      </c>
      <c r="AX117" s="37" t="s">
        <v>597</v>
      </c>
      <c r="AY117" s="50" t="s">
        <v>593</v>
      </c>
      <c r="AZ117" s="50" t="s">
        <v>593</v>
      </c>
      <c r="BA117" s="37" t="s">
        <v>609</v>
      </c>
      <c r="BB117" s="37" t="s">
        <v>170</v>
      </c>
      <c r="BC117" s="37" t="s">
        <v>602</v>
      </c>
      <c r="BD117" s="37" t="s">
        <v>602</v>
      </c>
      <c r="BE117" s="37" t="s">
        <v>602</v>
      </c>
      <c r="BF117" s="37" t="s">
        <v>599</v>
      </c>
      <c r="BG117" s="39" t="b">
        <f t="shared" si="4"/>
        <v>1</v>
      </c>
      <c r="BH117" s="39" t="str">
        <f t="shared" si="5"/>
        <v>Inadequate Design Capacity</v>
      </c>
      <c r="BI117" s="39" t="b">
        <f t="shared" si="6"/>
        <v>0</v>
      </c>
      <c r="BJ117" t="str">
        <f t="shared" si="7"/>
        <v>CLIENT INPUT REQUIRED</v>
      </c>
      <c r="BK117" s="39" t="str">
        <f>IF(A117="","",IF(BI117&lt;&gt;TRUE(),"No specific plan",IF(ISNUMBER(BJ117),IF(BJ117&lt;'Exec Summary'!$C$4,"Resolved before Feb 2027","Resolved after Feb 2027"),"CLIENT INPUT REQUIRED")))</f>
        <v>No specific plan</v>
      </c>
    </row>
    <row r="118" spans="1:63" ht="27" customHeight="1" x14ac:dyDescent="0.25">
      <c r="A118" s="38">
        <v>115</v>
      </c>
      <c r="B118" s="38" t="s">
        <v>421</v>
      </c>
      <c r="C118" s="38" t="s">
        <v>422</v>
      </c>
      <c r="D118" s="38">
        <v>24.094512999999999</v>
      </c>
      <c r="E118" s="38">
        <v>55.695605999999998</v>
      </c>
      <c r="F118" s="38" t="s">
        <v>13</v>
      </c>
      <c r="G118" s="38" t="s">
        <v>166</v>
      </c>
      <c r="H118" s="38"/>
      <c r="I118" s="38" t="s">
        <v>170</v>
      </c>
      <c r="J118" s="38" t="s">
        <v>23</v>
      </c>
      <c r="K118" s="61" t="s">
        <v>423</v>
      </c>
      <c r="L118" s="38"/>
      <c r="M118" s="38"/>
      <c r="N118" s="38"/>
      <c r="O118" s="38"/>
      <c r="P118" s="38">
        <v>10</v>
      </c>
      <c r="Q118" s="38"/>
      <c r="R118" s="38"/>
      <c r="S118" s="38"/>
      <c r="T118" s="38"/>
      <c r="U118" s="38"/>
      <c r="V118" s="38"/>
      <c r="W118" s="38"/>
      <c r="X118" s="38"/>
      <c r="Y118" s="38"/>
      <c r="Z118" s="38">
        <v>50000</v>
      </c>
      <c r="AA118" s="38">
        <v>4</v>
      </c>
      <c r="AB118" s="38">
        <v>20000</v>
      </c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7" t="s">
        <v>170</v>
      </c>
      <c r="AN118" s="49" t="s">
        <v>581</v>
      </c>
      <c r="AO118" s="37" t="s">
        <v>581</v>
      </c>
      <c r="AP118" s="50" t="s">
        <v>577</v>
      </c>
      <c r="AQ118" s="37" t="s">
        <v>167</v>
      </c>
      <c r="AR118" s="37" t="s">
        <v>596</v>
      </c>
      <c r="AS118" s="52" t="s">
        <v>582</v>
      </c>
      <c r="AT118" s="51" t="s">
        <v>583</v>
      </c>
      <c r="AU118" s="52" t="s">
        <v>584</v>
      </c>
      <c r="AV118" s="51" t="s">
        <v>585</v>
      </c>
      <c r="AW118" s="37" t="s">
        <v>597</v>
      </c>
      <c r="AX118" s="37" t="s">
        <v>597</v>
      </c>
      <c r="AY118" s="53">
        <v>45901</v>
      </c>
      <c r="AZ118" s="53">
        <v>46266</v>
      </c>
      <c r="BA118" s="37" t="s">
        <v>601</v>
      </c>
      <c r="BB118" s="37" t="s">
        <v>170</v>
      </c>
      <c r="BC118" s="63">
        <v>45901</v>
      </c>
      <c r="BD118" s="37" t="s">
        <v>596</v>
      </c>
      <c r="BE118" s="37" t="s">
        <v>607</v>
      </c>
      <c r="BF118" s="37" t="s">
        <v>599</v>
      </c>
      <c r="BG118" s="39" t="b">
        <f t="shared" si="4"/>
        <v>1</v>
      </c>
      <c r="BH118" s="39" t="str">
        <f t="shared" si="5"/>
        <v>Inadequate Design Capacity</v>
      </c>
      <c r="BI118" s="39" t="b">
        <f t="shared" si="6"/>
        <v>0</v>
      </c>
      <c r="BJ118">
        <f t="shared" si="7"/>
        <v>46266</v>
      </c>
      <c r="BK118" s="39" t="str">
        <f>IF(A118="","",IF(BI118&lt;&gt;TRUE(),"No specific plan",IF(ISNUMBER(BJ118),IF(BJ118&lt;'Exec Summary'!$C$4,"Resolved before Feb 2027","Resolved after Feb 2027"),"CLIENT INPUT REQUIRED")))</f>
        <v>No specific plan</v>
      </c>
    </row>
    <row r="119" spans="1:63" ht="27" customHeight="1" x14ac:dyDescent="0.25">
      <c r="A119" s="38">
        <v>116</v>
      </c>
      <c r="B119" s="38" t="s">
        <v>421</v>
      </c>
      <c r="C119" s="38" t="s">
        <v>424</v>
      </c>
      <c r="D119" s="38">
        <v>24.096104366990701</v>
      </c>
      <c r="E119" s="38">
        <v>55.707292340478297</v>
      </c>
      <c r="F119" s="38" t="s">
        <v>13</v>
      </c>
      <c r="G119" s="38" t="s">
        <v>166</v>
      </c>
      <c r="H119" s="38"/>
      <c r="I119" s="38" t="s">
        <v>170</v>
      </c>
      <c r="J119" s="38" t="s">
        <v>23</v>
      </c>
      <c r="K119" s="61" t="s">
        <v>425</v>
      </c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7" t="s">
        <v>167</v>
      </c>
      <c r="AN119" s="49" t="s">
        <v>576</v>
      </c>
      <c r="AO119" s="37" t="s">
        <v>576</v>
      </c>
      <c r="AP119" s="50" t="s">
        <v>577</v>
      </c>
      <c r="AQ119" s="37" t="s">
        <v>167</v>
      </c>
      <c r="AR119" s="37" t="s">
        <v>596</v>
      </c>
      <c r="AS119" s="52" t="s">
        <v>582</v>
      </c>
      <c r="AT119" s="51" t="s">
        <v>583</v>
      </c>
      <c r="AU119" s="51" t="s">
        <v>576</v>
      </c>
      <c r="AV119" s="51" t="s">
        <v>576</v>
      </c>
      <c r="AW119" s="37" t="s">
        <v>597</v>
      </c>
      <c r="AX119" s="37" t="s">
        <v>597</v>
      </c>
      <c r="AY119" s="50" t="s">
        <v>580</v>
      </c>
      <c r="AZ119" s="50" t="s">
        <v>580</v>
      </c>
      <c r="BA119" s="37" t="s">
        <v>580</v>
      </c>
      <c r="BB119" s="37" t="s">
        <v>167</v>
      </c>
      <c r="BC119" s="37" t="s">
        <v>596</v>
      </c>
      <c r="BD119" s="37" t="s">
        <v>596</v>
      </c>
      <c r="BE119" s="37" t="s">
        <v>598</v>
      </c>
      <c r="BF119" s="37" t="s">
        <v>599</v>
      </c>
      <c r="BG119" s="39" t="b">
        <f t="shared" si="4"/>
        <v>1</v>
      </c>
      <c r="BH119" s="39" t="str">
        <f t="shared" si="5"/>
        <v>Inadequate Design Capacity</v>
      </c>
      <c r="BI119" s="39" t="b">
        <f t="shared" si="6"/>
        <v>0</v>
      </c>
      <c r="BJ119" t="str">
        <f t="shared" si="7"/>
        <v>CLIENT INPUT REQUIRED</v>
      </c>
      <c r="BK119" s="39" t="str">
        <f>IF(A119="","",IF(BI119&lt;&gt;TRUE(),"No specific plan",IF(ISNUMBER(BJ119),IF(BJ119&lt;'Exec Summary'!$C$4,"Resolved before Feb 2027","Resolved after Feb 2027"),"CLIENT INPUT REQUIRED")))</f>
        <v>No specific plan</v>
      </c>
    </row>
    <row r="120" spans="1:63" ht="27" customHeight="1" x14ac:dyDescent="0.25">
      <c r="A120" s="38">
        <v>117</v>
      </c>
      <c r="B120" s="38" t="s">
        <v>421</v>
      </c>
      <c r="C120" s="38" t="s">
        <v>426</v>
      </c>
      <c r="D120" s="38">
        <v>24.079663418611499</v>
      </c>
      <c r="E120" s="38">
        <v>55.663666425193803</v>
      </c>
      <c r="F120" s="38" t="s">
        <v>13</v>
      </c>
      <c r="G120" s="38" t="s">
        <v>166</v>
      </c>
      <c r="H120" s="38"/>
      <c r="I120" s="38" t="s">
        <v>170</v>
      </c>
      <c r="J120" s="38" t="s">
        <v>23</v>
      </c>
      <c r="K120" s="61" t="s">
        <v>427</v>
      </c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7" t="s">
        <v>167</v>
      </c>
      <c r="AN120" s="49" t="s">
        <v>576</v>
      </c>
      <c r="AO120" s="37" t="s">
        <v>576</v>
      </c>
      <c r="AP120" s="50" t="s">
        <v>577</v>
      </c>
      <c r="AQ120" s="37" t="s">
        <v>167</v>
      </c>
      <c r="AR120" s="37" t="s">
        <v>596</v>
      </c>
      <c r="AS120" s="52" t="s">
        <v>582</v>
      </c>
      <c r="AT120" s="51" t="s">
        <v>583</v>
      </c>
      <c r="AU120" s="51" t="s">
        <v>576</v>
      </c>
      <c r="AV120" s="51" t="s">
        <v>576</v>
      </c>
      <c r="AW120" s="37" t="s">
        <v>597</v>
      </c>
      <c r="AX120" s="37" t="s">
        <v>597</v>
      </c>
      <c r="AY120" s="50" t="s">
        <v>580</v>
      </c>
      <c r="AZ120" s="50" t="s">
        <v>580</v>
      </c>
      <c r="BA120" s="37" t="s">
        <v>580</v>
      </c>
      <c r="BB120" s="37" t="s">
        <v>167</v>
      </c>
      <c r="BC120" s="37" t="s">
        <v>596</v>
      </c>
      <c r="BD120" s="37" t="s">
        <v>596</v>
      </c>
      <c r="BE120" s="37" t="s">
        <v>598</v>
      </c>
      <c r="BF120" s="37" t="s">
        <v>599</v>
      </c>
      <c r="BG120" s="39" t="b">
        <f t="shared" si="4"/>
        <v>1</v>
      </c>
      <c r="BH120" s="39" t="str">
        <f t="shared" si="5"/>
        <v>Inadequate Design Capacity</v>
      </c>
      <c r="BI120" s="39" t="b">
        <f t="shared" si="6"/>
        <v>0</v>
      </c>
      <c r="BJ120" t="str">
        <f t="shared" si="7"/>
        <v>CLIENT INPUT REQUIRED</v>
      </c>
      <c r="BK120" s="39" t="str">
        <f>IF(A120="","",IF(BI120&lt;&gt;TRUE(),"No specific plan",IF(ISNUMBER(BJ120),IF(BJ120&lt;'Exec Summary'!$C$4,"Resolved before Feb 2027","Resolved after Feb 2027"),"CLIENT INPUT REQUIRED")))</f>
        <v>No specific plan</v>
      </c>
    </row>
    <row r="121" spans="1:63" ht="27" customHeight="1" x14ac:dyDescent="0.25">
      <c r="A121" s="38">
        <v>118</v>
      </c>
      <c r="B121" s="38" t="s">
        <v>421</v>
      </c>
      <c r="C121" s="38" t="s">
        <v>428</v>
      </c>
      <c r="D121" s="38">
        <v>24.078461000000001</v>
      </c>
      <c r="E121" s="38">
        <v>55.729965</v>
      </c>
      <c r="F121" s="38" t="s">
        <v>13</v>
      </c>
      <c r="G121" s="38" t="s">
        <v>166</v>
      </c>
      <c r="H121" s="38"/>
      <c r="I121" s="38" t="s">
        <v>170</v>
      </c>
      <c r="J121" s="38" t="s">
        <v>23</v>
      </c>
      <c r="K121" s="61" t="s">
        <v>429</v>
      </c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7" t="s">
        <v>170</v>
      </c>
      <c r="AN121" s="49" t="s">
        <v>581</v>
      </c>
      <c r="AO121" s="37" t="s">
        <v>581</v>
      </c>
      <c r="AP121" s="50" t="s">
        <v>577</v>
      </c>
      <c r="AQ121" s="37" t="s">
        <v>167</v>
      </c>
      <c r="AR121" s="37" t="s">
        <v>596</v>
      </c>
      <c r="AS121" s="52" t="s">
        <v>582</v>
      </c>
      <c r="AT121" s="51" t="s">
        <v>583</v>
      </c>
      <c r="AU121" s="52" t="s">
        <v>584</v>
      </c>
      <c r="AV121" s="51" t="s">
        <v>585</v>
      </c>
      <c r="AW121" s="37" t="s">
        <v>597</v>
      </c>
      <c r="AX121" s="37" t="s">
        <v>597</v>
      </c>
      <c r="AY121" s="53">
        <v>45901</v>
      </c>
      <c r="AZ121" s="53">
        <v>46266</v>
      </c>
      <c r="BA121" s="37" t="s">
        <v>601</v>
      </c>
      <c r="BB121" s="37" t="s">
        <v>170</v>
      </c>
      <c r="BC121" s="63">
        <v>45901</v>
      </c>
      <c r="BD121" s="63">
        <v>46235</v>
      </c>
      <c r="BE121" s="37" t="s">
        <v>602</v>
      </c>
      <c r="BF121" s="37" t="s">
        <v>599</v>
      </c>
      <c r="BG121" s="39" t="b">
        <f t="shared" si="4"/>
        <v>1</v>
      </c>
      <c r="BH121" s="39" t="str">
        <f t="shared" si="5"/>
        <v>Inadequate Design Capacity</v>
      </c>
      <c r="BI121" s="39" t="b">
        <f t="shared" si="6"/>
        <v>0</v>
      </c>
      <c r="BJ121">
        <f t="shared" si="7"/>
        <v>46266</v>
      </c>
      <c r="BK121" s="39" t="str">
        <f>IF(A121="","",IF(BI121&lt;&gt;TRUE(),"No specific plan",IF(ISNUMBER(BJ121),IF(BJ121&lt;'Exec Summary'!$C$4,"Resolved before Feb 2027","Resolved after Feb 2027"),"CLIENT INPUT REQUIRED")))</f>
        <v>No specific plan</v>
      </c>
    </row>
    <row r="122" spans="1:63" ht="27" customHeight="1" x14ac:dyDescent="0.25">
      <c r="A122" s="38">
        <v>119</v>
      </c>
      <c r="B122" s="38" t="s">
        <v>421</v>
      </c>
      <c r="C122" s="38" t="s">
        <v>430</v>
      </c>
      <c r="D122" s="38">
        <v>24.013428613451602</v>
      </c>
      <c r="E122" s="38">
        <v>55.5613882454875</v>
      </c>
      <c r="F122" s="38" t="s">
        <v>13</v>
      </c>
      <c r="G122" s="38" t="s">
        <v>166</v>
      </c>
      <c r="H122" s="38"/>
      <c r="I122" s="38" t="s">
        <v>170</v>
      </c>
      <c r="J122" s="38" t="s">
        <v>23</v>
      </c>
      <c r="K122" s="61" t="s">
        <v>431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7" t="s">
        <v>167</v>
      </c>
      <c r="AN122" s="49" t="s">
        <v>576</v>
      </c>
      <c r="AO122" s="37" t="s">
        <v>576</v>
      </c>
      <c r="AP122" s="50" t="s">
        <v>577</v>
      </c>
      <c r="AQ122" s="37" t="s">
        <v>167</v>
      </c>
      <c r="AR122" s="37" t="s">
        <v>596</v>
      </c>
      <c r="AS122" s="52" t="s">
        <v>582</v>
      </c>
      <c r="AT122" s="51" t="s">
        <v>583</v>
      </c>
      <c r="AU122" s="51" t="s">
        <v>576</v>
      </c>
      <c r="AV122" s="51" t="s">
        <v>576</v>
      </c>
      <c r="AW122" s="37" t="s">
        <v>597</v>
      </c>
      <c r="AX122" s="37" t="s">
        <v>597</v>
      </c>
      <c r="AY122" s="50" t="s">
        <v>580</v>
      </c>
      <c r="AZ122" s="50" t="s">
        <v>580</v>
      </c>
      <c r="BA122" s="37" t="s">
        <v>580</v>
      </c>
      <c r="BB122" s="37" t="s">
        <v>167</v>
      </c>
      <c r="BC122" s="37" t="s">
        <v>596</v>
      </c>
      <c r="BD122" s="37" t="s">
        <v>596</v>
      </c>
      <c r="BE122" s="37" t="s">
        <v>598</v>
      </c>
      <c r="BF122" s="37" t="s">
        <v>599</v>
      </c>
      <c r="BG122" s="39" t="b">
        <f t="shared" si="4"/>
        <v>1</v>
      </c>
      <c r="BH122" s="39" t="str">
        <f t="shared" si="5"/>
        <v>Inadequate Design Capacity</v>
      </c>
      <c r="BI122" s="39" t="b">
        <f t="shared" si="6"/>
        <v>0</v>
      </c>
      <c r="BJ122" t="str">
        <f t="shared" si="7"/>
        <v>CLIENT INPUT REQUIRED</v>
      </c>
      <c r="BK122" s="39" t="str">
        <f>IF(A122="","",IF(BI122&lt;&gt;TRUE(),"No specific plan",IF(ISNUMBER(BJ122),IF(BJ122&lt;'Exec Summary'!$C$4,"Resolved before Feb 2027","Resolved after Feb 2027"),"CLIENT INPUT REQUIRED")))</f>
        <v>No specific plan</v>
      </c>
    </row>
    <row r="123" spans="1:63" ht="27" customHeight="1" x14ac:dyDescent="0.25">
      <c r="A123" s="38">
        <v>120</v>
      </c>
      <c r="B123" s="38" t="s">
        <v>421</v>
      </c>
      <c r="C123" s="38" t="s">
        <v>432</v>
      </c>
      <c r="D123" s="38">
        <v>23.991301</v>
      </c>
      <c r="E123" s="38">
        <v>55.571123</v>
      </c>
      <c r="F123" s="38" t="s">
        <v>13</v>
      </c>
      <c r="G123" s="38" t="s">
        <v>166</v>
      </c>
      <c r="H123" s="38"/>
      <c r="I123" s="38" t="s">
        <v>170</v>
      </c>
      <c r="J123" s="38" t="s">
        <v>23</v>
      </c>
      <c r="K123" s="61" t="s">
        <v>433</v>
      </c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7" t="s">
        <v>167</v>
      </c>
      <c r="AN123" s="49" t="s">
        <v>576</v>
      </c>
      <c r="AO123" s="37" t="s">
        <v>576</v>
      </c>
      <c r="AP123" s="50" t="s">
        <v>577</v>
      </c>
      <c r="AQ123" s="37" t="s">
        <v>167</v>
      </c>
      <c r="AR123" s="37" t="s">
        <v>596</v>
      </c>
      <c r="AS123" s="52" t="s">
        <v>582</v>
      </c>
      <c r="AT123" s="51" t="s">
        <v>583</v>
      </c>
      <c r="AU123" s="51" t="s">
        <v>576</v>
      </c>
      <c r="AV123" s="51" t="s">
        <v>576</v>
      </c>
      <c r="AW123" s="37" t="s">
        <v>597</v>
      </c>
      <c r="AX123" s="37" t="s">
        <v>597</v>
      </c>
      <c r="AY123" s="50" t="s">
        <v>580</v>
      </c>
      <c r="AZ123" s="50" t="s">
        <v>580</v>
      </c>
      <c r="BA123" s="37" t="s">
        <v>580</v>
      </c>
      <c r="BB123" s="37" t="s">
        <v>167</v>
      </c>
      <c r="BC123" s="37" t="s">
        <v>596</v>
      </c>
      <c r="BD123" s="37" t="s">
        <v>596</v>
      </c>
      <c r="BE123" s="37" t="s">
        <v>598</v>
      </c>
      <c r="BF123" s="37" t="s">
        <v>599</v>
      </c>
      <c r="BG123" s="39" t="b">
        <f t="shared" si="4"/>
        <v>1</v>
      </c>
      <c r="BH123" s="39" t="str">
        <f t="shared" si="5"/>
        <v>Inadequate Design Capacity</v>
      </c>
      <c r="BI123" s="39" t="b">
        <f t="shared" si="6"/>
        <v>0</v>
      </c>
      <c r="BJ123" t="str">
        <f t="shared" si="7"/>
        <v>CLIENT INPUT REQUIRED</v>
      </c>
      <c r="BK123" s="39" t="str">
        <f>IF(A123="","",IF(BI123&lt;&gt;TRUE(),"No specific plan",IF(ISNUMBER(BJ123),IF(BJ123&lt;'Exec Summary'!$C$4,"Resolved before Feb 2027","Resolved after Feb 2027"),"CLIENT INPUT REQUIRED")))</f>
        <v>No specific plan</v>
      </c>
    </row>
    <row r="124" spans="1:63" ht="27" customHeight="1" x14ac:dyDescent="0.25">
      <c r="A124" s="38">
        <v>121</v>
      </c>
      <c r="B124" s="38" t="s">
        <v>434</v>
      </c>
      <c r="C124" s="38" t="s">
        <v>435</v>
      </c>
      <c r="D124" s="38" t="s">
        <v>436</v>
      </c>
      <c r="E124" s="38" t="s">
        <v>437</v>
      </c>
      <c r="F124" s="38" t="s">
        <v>165</v>
      </c>
      <c r="G124" s="38" t="s">
        <v>166</v>
      </c>
      <c r="H124" s="38"/>
      <c r="I124" s="38" t="s">
        <v>167</v>
      </c>
      <c r="J124" s="38" t="s">
        <v>24</v>
      </c>
      <c r="K124" s="61" t="s">
        <v>438</v>
      </c>
      <c r="L124" s="38"/>
      <c r="M124" s="38"/>
      <c r="N124" s="38"/>
      <c r="O124" s="38"/>
      <c r="P124" s="38">
        <v>0</v>
      </c>
      <c r="Q124" s="38"/>
      <c r="R124" s="38"/>
      <c r="S124" s="38"/>
      <c r="T124" s="38"/>
      <c r="U124" s="38"/>
      <c r="V124" s="38"/>
      <c r="W124" s="38"/>
      <c r="X124" s="38"/>
      <c r="Y124" s="38"/>
      <c r="Z124" s="38">
        <v>0</v>
      </c>
      <c r="AA124" s="38">
        <v>8</v>
      </c>
      <c r="AB124" s="38">
        <v>40000</v>
      </c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7" t="s">
        <v>167</v>
      </c>
      <c r="AN124" s="49" t="s">
        <v>576</v>
      </c>
      <c r="AO124" s="37" t="s">
        <v>576</v>
      </c>
      <c r="AP124" s="50" t="s">
        <v>577</v>
      </c>
      <c r="AQ124" s="37" t="s">
        <v>167</v>
      </c>
      <c r="AR124" s="37" t="s">
        <v>596</v>
      </c>
      <c r="AS124" s="51" t="s">
        <v>578</v>
      </c>
      <c r="AT124" s="51" t="s">
        <v>579</v>
      </c>
      <c r="AU124" s="51" t="s">
        <v>576</v>
      </c>
      <c r="AV124" s="51" t="s">
        <v>576</v>
      </c>
      <c r="AW124" s="37" t="s">
        <v>597</v>
      </c>
      <c r="AX124" s="37" t="s">
        <v>597</v>
      </c>
      <c r="AY124" s="50" t="s">
        <v>580</v>
      </c>
      <c r="AZ124" s="50" t="s">
        <v>580</v>
      </c>
      <c r="BA124" s="37" t="s">
        <v>580</v>
      </c>
      <c r="BB124" s="37" t="s">
        <v>167</v>
      </c>
      <c r="BC124" s="37" t="s">
        <v>596</v>
      </c>
      <c r="BD124" s="37" t="s">
        <v>596</v>
      </c>
      <c r="BE124" s="37" t="s">
        <v>598</v>
      </c>
      <c r="BF124" s="37" t="s">
        <v>599</v>
      </c>
      <c r="BG124" s="39" t="b">
        <f t="shared" si="4"/>
        <v>1</v>
      </c>
      <c r="BH124" s="39" t="str">
        <f t="shared" si="5"/>
        <v>Absence of Drainage Network</v>
      </c>
      <c r="BI124" s="39" t="b">
        <f t="shared" si="6"/>
        <v>0</v>
      </c>
      <c r="BJ124" t="str">
        <f t="shared" si="7"/>
        <v>CLIENT INPUT REQUIRED</v>
      </c>
      <c r="BK124" s="39" t="str">
        <f>IF(A124="","",IF(BI124&lt;&gt;TRUE(),"No specific plan",IF(ISNUMBER(BJ124),IF(BJ124&lt;'Exec Summary'!$C$4,"Resolved before Feb 2027","Resolved after Feb 2027"),"CLIENT INPUT REQUIRED")))</f>
        <v>No specific plan</v>
      </c>
    </row>
    <row r="125" spans="1:63" ht="27" customHeight="1" x14ac:dyDescent="0.25">
      <c r="A125" s="38">
        <v>122</v>
      </c>
      <c r="B125" s="38" t="s">
        <v>434</v>
      </c>
      <c r="C125" s="38" t="s">
        <v>439</v>
      </c>
      <c r="D125" s="38">
        <v>24.287769999999998</v>
      </c>
      <c r="E125" s="38">
        <v>55.775694999999999</v>
      </c>
      <c r="F125" s="38" t="s">
        <v>165</v>
      </c>
      <c r="G125" s="38" t="s">
        <v>166</v>
      </c>
      <c r="H125" s="38"/>
      <c r="I125" s="38" t="s">
        <v>170</v>
      </c>
      <c r="J125" s="38" t="s">
        <v>23</v>
      </c>
      <c r="K125" s="61" t="s">
        <v>440</v>
      </c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7" t="s">
        <v>170</v>
      </c>
      <c r="AN125" s="49" t="s">
        <v>581</v>
      </c>
      <c r="AO125" s="37" t="s">
        <v>581</v>
      </c>
      <c r="AP125" s="50" t="s">
        <v>577</v>
      </c>
      <c r="AQ125" s="37" t="s">
        <v>167</v>
      </c>
      <c r="AR125" s="37" t="s">
        <v>596</v>
      </c>
      <c r="AS125" s="52" t="s">
        <v>582</v>
      </c>
      <c r="AT125" s="51" t="s">
        <v>583</v>
      </c>
      <c r="AU125" s="52" t="s">
        <v>584</v>
      </c>
      <c r="AV125" s="51" t="s">
        <v>585</v>
      </c>
      <c r="AW125" s="37" t="s">
        <v>597</v>
      </c>
      <c r="AX125" s="37" t="s">
        <v>597</v>
      </c>
      <c r="AY125" s="53">
        <v>45231</v>
      </c>
      <c r="AZ125" s="53">
        <v>46082</v>
      </c>
      <c r="BA125" s="37" t="s">
        <v>609</v>
      </c>
      <c r="BB125" s="37" t="s">
        <v>170</v>
      </c>
      <c r="BC125" s="63">
        <v>45231</v>
      </c>
      <c r="BD125" s="63">
        <v>46082</v>
      </c>
      <c r="BE125" s="37" t="s">
        <v>602</v>
      </c>
      <c r="BF125" s="37" t="s">
        <v>610</v>
      </c>
      <c r="BG125" s="39" t="b">
        <f t="shared" si="4"/>
        <v>1</v>
      </c>
      <c r="BH125" s="39" t="str">
        <f t="shared" si="5"/>
        <v>Inadequate Design Capacity</v>
      </c>
      <c r="BI125" s="39" t="b">
        <f t="shared" si="6"/>
        <v>0</v>
      </c>
      <c r="BJ125">
        <f t="shared" si="7"/>
        <v>46082</v>
      </c>
      <c r="BK125" s="39" t="str">
        <f>IF(A125="","",IF(BI125&lt;&gt;TRUE(),"No specific plan",IF(ISNUMBER(BJ125),IF(BJ125&lt;'Exec Summary'!$C$4,"Resolved before Feb 2027","Resolved after Feb 2027"),"CLIENT INPUT REQUIRED")))</f>
        <v>No specific plan</v>
      </c>
    </row>
    <row r="126" spans="1:63" ht="27" customHeight="1" x14ac:dyDescent="0.25">
      <c r="A126" s="38">
        <v>123</v>
      </c>
      <c r="B126" s="38" t="s">
        <v>434</v>
      </c>
      <c r="C126" s="38" t="s">
        <v>441</v>
      </c>
      <c r="D126" s="38">
        <v>24.281306987270199</v>
      </c>
      <c r="E126" s="38">
        <v>55.778552990207601</v>
      </c>
      <c r="F126" s="38" t="s">
        <v>165</v>
      </c>
      <c r="G126" s="38" t="s">
        <v>166</v>
      </c>
      <c r="H126" s="38"/>
      <c r="I126" s="38" t="s">
        <v>167</v>
      </c>
      <c r="J126" s="38" t="s">
        <v>24</v>
      </c>
      <c r="K126" s="61" t="s">
        <v>442</v>
      </c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7" t="s">
        <v>167</v>
      </c>
      <c r="AN126" s="49" t="s">
        <v>576</v>
      </c>
      <c r="AO126" s="37" t="s">
        <v>576</v>
      </c>
      <c r="AP126" s="50" t="s">
        <v>577</v>
      </c>
      <c r="AQ126" s="37" t="s">
        <v>167</v>
      </c>
      <c r="AR126" s="37" t="s">
        <v>596</v>
      </c>
      <c r="AS126" s="51" t="s">
        <v>578</v>
      </c>
      <c r="AT126" s="51" t="s">
        <v>579</v>
      </c>
      <c r="AU126" s="51" t="s">
        <v>576</v>
      </c>
      <c r="AV126" s="51" t="s">
        <v>576</v>
      </c>
      <c r="AW126" s="37" t="s">
        <v>597</v>
      </c>
      <c r="AX126" s="37" t="s">
        <v>597</v>
      </c>
      <c r="AY126" s="50" t="s">
        <v>580</v>
      </c>
      <c r="AZ126" s="50" t="s">
        <v>580</v>
      </c>
      <c r="BA126" s="37" t="s">
        <v>580</v>
      </c>
      <c r="BB126" s="37" t="s">
        <v>167</v>
      </c>
      <c r="BC126" s="37" t="s">
        <v>596</v>
      </c>
      <c r="BD126" s="37" t="s">
        <v>596</v>
      </c>
      <c r="BE126" s="37" t="s">
        <v>598</v>
      </c>
      <c r="BF126" s="37" t="s">
        <v>599</v>
      </c>
      <c r="BG126" s="39" t="b">
        <f t="shared" si="4"/>
        <v>1</v>
      </c>
      <c r="BH126" s="39" t="str">
        <f t="shared" si="5"/>
        <v>Absence of Drainage Network</v>
      </c>
      <c r="BI126" s="39" t="b">
        <f t="shared" si="6"/>
        <v>0</v>
      </c>
      <c r="BJ126" t="str">
        <f t="shared" si="7"/>
        <v>CLIENT INPUT REQUIRED</v>
      </c>
      <c r="BK126" s="39" t="str">
        <f>IF(A126="","",IF(BI126&lt;&gt;TRUE(),"No specific plan",IF(ISNUMBER(BJ126),IF(BJ126&lt;'Exec Summary'!$C$4,"Resolved before Feb 2027","Resolved after Feb 2027"),"CLIENT INPUT REQUIRED")))</f>
        <v>No specific plan</v>
      </c>
    </row>
    <row r="127" spans="1:63" ht="27" customHeight="1" x14ac:dyDescent="0.25">
      <c r="A127" s="38">
        <v>124</v>
      </c>
      <c r="B127" s="38" t="s">
        <v>434</v>
      </c>
      <c r="C127" s="38" t="s">
        <v>443</v>
      </c>
      <c r="D127" s="38">
        <v>24.313334931808299</v>
      </c>
      <c r="E127" s="38">
        <v>55.809356713492697</v>
      </c>
      <c r="F127" s="38" t="s">
        <v>165</v>
      </c>
      <c r="G127" s="38" t="s">
        <v>166</v>
      </c>
      <c r="H127" s="38"/>
      <c r="I127" s="38" t="s">
        <v>167</v>
      </c>
      <c r="J127" s="38" t="s">
        <v>24</v>
      </c>
      <c r="K127" s="61" t="s">
        <v>444</v>
      </c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7" t="s">
        <v>167</v>
      </c>
      <c r="AN127" s="49" t="s">
        <v>576</v>
      </c>
      <c r="AO127" s="37" t="s">
        <v>576</v>
      </c>
      <c r="AP127" s="50" t="s">
        <v>577</v>
      </c>
      <c r="AQ127" s="37" t="s">
        <v>167</v>
      </c>
      <c r="AR127" s="37" t="s">
        <v>596</v>
      </c>
      <c r="AS127" s="51" t="s">
        <v>578</v>
      </c>
      <c r="AT127" s="51" t="s">
        <v>579</v>
      </c>
      <c r="AU127" s="51" t="s">
        <v>576</v>
      </c>
      <c r="AV127" s="51" t="s">
        <v>576</v>
      </c>
      <c r="AW127" s="37" t="s">
        <v>597</v>
      </c>
      <c r="AX127" s="37" t="s">
        <v>597</v>
      </c>
      <c r="AY127" s="50" t="s">
        <v>580</v>
      </c>
      <c r="AZ127" s="50" t="s">
        <v>580</v>
      </c>
      <c r="BA127" s="37" t="s">
        <v>580</v>
      </c>
      <c r="BB127" s="37" t="s">
        <v>167</v>
      </c>
      <c r="BC127" s="37" t="s">
        <v>596</v>
      </c>
      <c r="BD127" s="37" t="s">
        <v>596</v>
      </c>
      <c r="BE127" s="37" t="s">
        <v>598</v>
      </c>
      <c r="BF127" s="37" t="s">
        <v>599</v>
      </c>
      <c r="BG127" s="39" t="b">
        <f t="shared" si="4"/>
        <v>1</v>
      </c>
      <c r="BH127" s="39" t="str">
        <f t="shared" si="5"/>
        <v>Absence of Drainage Network</v>
      </c>
      <c r="BI127" s="39" t="b">
        <f t="shared" si="6"/>
        <v>0</v>
      </c>
      <c r="BJ127" t="str">
        <f t="shared" si="7"/>
        <v>CLIENT INPUT REQUIRED</v>
      </c>
      <c r="BK127" s="39" t="str">
        <f>IF(A127="","",IF(BI127&lt;&gt;TRUE(),"No specific plan",IF(ISNUMBER(BJ127),IF(BJ127&lt;'Exec Summary'!$C$4,"Resolved before Feb 2027","Resolved after Feb 2027"),"CLIENT INPUT REQUIRED")))</f>
        <v>No specific plan</v>
      </c>
    </row>
    <row r="128" spans="1:63" ht="27" customHeight="1" x14ac:dyDescent="0.25">
      <c r="A128" s="38">
        <v>125</v>
      </c>
      <c r="B128" s="38" t="s">
        <v>434</v>
      </c>
      <c r="C128" s="38" t="s">
        <v>445</v>
      </c>
      <c r="D128" s="38">
        <v>24.289390000000001</v>
      </c>
      <c r="E128" s="38">
        <v>55.768726000000001</v>
      </c>
      <c r="F128" s="38" t="s">
        <v>165</v>
      </c>
      <c r="G128" s="38" t="s">
        <v>166</v>
      </c>
      <c r="H128" s="38"/>
      <c r="I128" s="38" t="s">
        <v>170</v>
      </c>
      <c r="J128" s="38" t="s">
        <v>23</v>
      </c>
      <c r="K128" s="61" t="s">
        <v>446</v>
      </c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7" t="s">
        <v>170</v>
      </c>
      <c r="AN128" s="49" t="s">
        <v>581</v>
      </c>
      <c r="AO128" s="37" t="s">
        <v>581</v>
      </c>
      <c r="AP128" s="50" t="s">
        <v>577</v>
      </c>
      <c r="AQ128" s="37" t="s">
        <v>167</v>
      </c>
      <c r="AR128" s="37" t="s">
        <v>596</v>
      </c>
      <c r="AS128" s="52" t="s">
        <v>582</v>
      </c>
      <c r="AT128" s="51" t="s">
        <v>583</v>
      </c>
      <c r="AU128" s="52" t="s">
        <v>584</v>
      </c>
      <c r="AV128" s="51" t="s">
        <v>585</v>
      </c>
      <c r="AW128" s="37" t="s">
        <v>597</v>
      </c>
      <c r="AX128" s="37" t="s">
        <v>597</v>
      </c>
      <c r="AY128" s="53">
        <v>45231</v>
      </c>
      <c r="AZ128" s="53">
        <v>46082</v>
      </c>
      <c r="BA128" s="37" t="s">
        <v>609</v>
      </c>
      <c r="BB128" s="37" t="s">
        <v>170</v>
      </c>
      <c r="BC128" s="63">
        <v>45231</v>
      </c>
      <c r="BD128" s="63">
        <v>46082</v>
      </c>
      <c r="BE128" s="37" t="s">
        <v>602</v>
      </c>
      <c r="BF128" s="37" t="s">
        <v>610</v>
      </c>
      <c r="BG128" s="39" t="b">
        <f t="shared" si="4"/>
        <v>1</v>
      </c>
      <c r="BH128" s="39" t="str">
        <f t="shared" si="5"/>
        <v>Inadequate Design Capacity</v>
      </c>
      <c r="BI128" s="39" t="b">
        <f t="shared" si="6"/>
        <v>0</v>
      </c>
      <c r="BJ128">
        <f t="shared" si="7"/>
        <v>46082</v>
      </c>
      <c r="BK128" s="39" t="str">
        <f>IF(A128="","",IF(BI128&lt;&gt;TRUE(),"No specific plan",IF(ISNUMBER(BJ128),IF(BJ128&lt;'Exec Summary'!$C$4,"Resolved before Feb 2027","Resolved after Feb 2027"),"CLIENT INPUT REQUIRED")))</f>
        <v>No specific plan</v>
      </c>
    </row>
    <row r="129" spans="1:63" ht="27" customHeight="1" x14ac:dyDescent="0.25">
      <c r="A129" s="38">
        <v>126</v>
      </c>
      <c r="B129" s="38" t="s">
        <v>447</v>
      </c>
      <c r="C129" s="38" t="s">
        <v>448</v>
      </c>
      <c r="D129" s="38">
        <v>24.288647999999998</v>
      </c>
      <c r="E129" s="38">
        <v>55.776479999999999</v>
      </c>
      <c r="F129" s="38" t="s">
        <v>165</v>
      </c>
      <c r="G129" s="38" t="s">
        <v>235</v>
      </c>
      <c r="H129" s="38"/>
      <c r="I129" s="38" t="s">
        <v>170</v>
      </c>
      <c r="J129" s="38" t="s">
        <v>23</v>
      </c>
      <c r="K129" s="61" t="s">
        <v>449</v>
      </c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7" t="s">
        <v>170</v>
      </c>
      <c r="AN129" s="49" t="s">
        <v>581</v>
      </c>
      <c r="AO129" s="37" t="s">
        <v>581</v>
      </c>
      <c r="AP129" s="50" t="s">
        <v>577</v>
      </c>
      <c r="AQ129" s="37" t="s">
        <v>167</v>
      </c>
      <c r="AR129" s="37" t="s">
        <v>596</v>
      </c>
      <c r="AS129" s="52" t="s">
        <v>582</v>
      </c>
      <c r="AT129" s="51" t="s">
        <v>583</v>
      </c>
      <c r="AU129" s="52" t="s">
        <v>584</v>
      </c>
      <c r="AV129" s="51" t="s">
        <v>585</v>
      </c>
      <c r="AW129" s="37" t="s">
        <v>597</v>
      </c>
      <c r="AX129" s="37" t="s">
        <v>597</v>
      </c>
      <c r="AY129" s="53">
        <v>45231</v>
      </c>
      <c r="AZ129" s="53">
        <v>46082</v>
      </c>
      <c r="BA129" s="37" t="s">
        <v>609</v>
      </c>
      <c r="BB129" s="37" t="s">
        <v>170</v>
      </c>
      <c r="BC129" s="63">
        <v>45231</v>
      </c>
      <c r="BD129" s="63">
        <v>46082</v>
      </c>
      <c r="BE129" s="37" t="s">
        <v>602</v>
      </c>
      <c r="BF129" s="37" t="s">
        <v>610</v>
      </c>
      <c r="BG129" s="39" t="b">
        <f t="shared" si="4"/>
        <v>1</v>
      </c>
      <c r="BH129" s="39" t="str">
        <f t="shared" si="5"/>
        <v>Inadequate Design Capacity</v>
      </c>
      <c r="BI129" s="39" t="b">
        <f t="shared" si="6"/>
        <v>0</v>
      </c>
      <c r="BJ129">
        <f t="shared" si="7"/>
        <v>46082</v>
      </c>
      <c r="BK129" s="39" t="str">
        <f>IF(A129="","",IF(BI129&lt;&gt;TRUE(),"No specific plan",IF(ISNUMBER(BJ129),IF(BJ129&lt;'Exec Summary'!$C$4,"Resolved before Feb 2027","Resolved after Feb 2027"),"CLIENT INPUT REQUIRED")))</f>
        <v>No specific plan</v>
      </c>
    </row>
    <row r="130" spans="1:63" ht="27" customHeight="1" x14ac:dyDescent="0.25">
      <c r="A130" s="38">
        <v>127</v>
      </c>
      <c r="B130" s="38" t="s">
        <v>434</v>
      </c>
      <c r="C130" s="38" t="s">
        <v>450</v>
      </c>
      <c r="D130" s="38">
        <v>24.289828</v>
      </c>
      <c r="E130" s="38">
        <v>55.783265999999998</v>
      </c>
      <c r="F130" s="38" t="s">
        <v>165</v>
      </c>
      <c r="G130" s="38" t="s">
        <v>166</v>
      </c>
      <c r="H130" s="38"/>
      <c r="I130" s="38" t="s">
        <v>170</v>
      </c>
      <c r="J130" s="38" t="s">
        <v>23</v>
      </c>
      <c r="K130" s="61" t="s">
        <v>451</v>
      </c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7" t="s">
        <v>170</v>
      </c>
      <c r="AN130" s="49" t="s">
        <v>581</v>
      </c>
      <c r="AO130" s="37" t="s">
        <v>581</v>
      </c>
      <c r="AP130" s="50" t="s">
        <v>577</v>
      </c>
      <c r="AQ130" s="37" t="s">
        <v>167</v>
      </c>
      <c r="AR130" s="37" t="s">
        <v>596</v>
      </c>
      <c r="AS130" s="52" t="s">
        <v>582</v>
      </c>
      <c r="AT130" s="51" t="s">
        <v>583</v>
      </c>
      <c r="AU130" s="52" t="s">
        <v>584</v>
      </c>
      <c r="AV130" s="51" t="s">
        <v>585</v>
      </c>
      <c r="AW130" s="37" t="s">
        <v>597</v>
      </c>
      <c r="AX130" s="37" t="s">
        <v>597</v>
      </c>
      <c r="AY130" s="53">
        <v>45231</v>
      </c>
      <c r="AZ130" s="53">
        <v>46082</v>
      </c>
      <c r="BA130" s="37" t="s">
        <v>609</v>
      </c>
      <c r="BB130" s="37" t="s">
        <v>170</v>
      </c>
      <c r="BC130" s="63">
        <v>45231</v>
      </c>
      <c r="BD130" s="63">
        <v>46082</v>
      </c>
      <c r="BE130" s="37" t="s">
        <v>602</v>
      </c>
      <c r="BF130" s="37" t="s">
        <v>610</v>
      </c>
      <c r="BG130" s="39" t="b">
        <f t="shared" si="4"/>
        <v>1</v>
      </c>
      <c r="BH130" s="39" t="str">
        <f t="shared" si="5"/>
        <v>Inadequate Design Capacity</v>
      </c>
      <c r="BI130" s="39" t="b">
        <f t="shared" si="6"/>
        <v>0</v>
      </c>
      <c r="BJ130">
        <f t="shared" si="7"/>
        <v>46082</v>
      </c>
      <c r="BK130" s="39" t="str">
        <f>IF(A130="","",IF(BI130&lt;&gt;TRUE(),"No specific plan",IF(ISNUMBER(BJ130),IF(BJ130&lt;'Exec Summary'!$C$4,"Resolved before Feb 2027","Resolved after Feb 2027"),"CLIENT INPUT REQUIRED")))</f>
        <v>No specific plan</v>
      </c>
    </row>
    <row r="131" spans="1:63" ht="27" customHeight="1" x14ac:dyDescent="0.25">
      <c r="A131" s="38">
        <v>128</v>
      </c>
      <c r="B131" s="38" t="s">
        <v>434</v>
      </c>
      <c r="C131" s="38" t="s">
        <v>452</v>
      </c>
      <c r="D131" s="38">
        <v>24.314336714766601</v>
      </c>
      <c r="E131" s="38">
        <v>55.8089013424173</v>
      </c>
      <c r="F131" s="38" t="s">
        <v>165</v>
      </c>
      <c r="G131" s="38" t="s">
        <v>166</v>
      </c>
      <c r="H131" s="38"/>
      <c r="I131" s="38" t="s">
        <v>170</v>
      </c>
      <c r="J131" s="38" t="s">
        <v>23</v>
      </c>
      <c r="K131" s="61" t="s">
        <v>453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7" t="s">
        <v>167</v>
      </c>
      <c r="AN131" s="49" t="s">
        <v>576</v>
      </c>
      <c r="AO131" s="37" t="s">
        <v>576</v>
      </c>
      <c r="AP131" s="50" t="s">
        <v>577</v>
      </c>
      <c r="AQ131" s="37" t="s">
        <v>167</v>
      </c>
      <c r="AR131" s="37" t="s">
        <v>596</v>
      </c>
      <c r="AS131" s="52" t="s">
        <v>582</v>
      </c>
      <c r="AT131" s="51" t="s">
        <v>583</v>
      </c>
      <c r="AU131" s="51" t="s">
        <v>576</v>
      </c>
      <c r="AV131" s="51" t="s">
        <v>576</v>
      </c>
      <c r="AW131" s="37" t="s">
        <v>597</v>
      </c>
      <c r="AX131" s="37" t="s">
        <v>597</v>
      </c>
      <c r="AY131" s="53" t="s">
        <v>580</v>
      </c>
      <c r="AZ131" s="53" t="s">
        <v>580</v>
      </c>
      <c r="BA131" s="37" t="s">
        <v>580</v>
      </c>
      <c r="BB131" s="37" t="s">
        <v>167</v>
      </c>
      <c r="BC131" s="37" t="s">
        <v>596</v>
      </c>
      <c r="BD131" s="37" t="s">
        <v>596</v>
      </c>
      <c r="BE131" s="37" t="s">
        <v>598</v>
      </c>
      <c r="BF131" s="37" t="s">
        <v>599</v>
      </c>
      <c r="BG131" s="39" t="b">
        <f t="shared" si="4"/>
        <v>1</v>
      </c>
      <c r="BH131" s="39" t="str">
        <f t="shared" si="5"/>
        <v>Inadequate Design Capacity</v>
      </c>
      <c r="BI131" s="39" t="b">
        <f t="shared" si="6"/>
        <v>0</v>
      </c>
      <c r="BJ131" t="str">
        <f t="shared" si="7"/>
        <v>CLIENT INPUT REQUIRED</v>
      </c>
      <c r="BK131" s="39" t="str">
        <f>IF(A131="","",IF(BI131&lt;&gt;TRUE(),"No specific plan",IF(ISNUMBER(BJ131),IF(BJ131&lt;'Exec Summary'!$C$4,"Resolved before Feb 2027","Resolved after Feb 2027"),"CLIENT INPUT REQUIRED")))</f>
        <v>No specific plan</v>
      </c>
    </row>
    <row r="132" spans="1:63" ht="27" customHeight="1" x14ac:dyDescent="0.25">
      <c r="A132" s="38">
        <v>129</v>
      </c>
      <c r="B132" s="38" t="s">
        <v>434</v>
      </c>
      <c r="C132" s="38" t="s">
        <v>454</v>
      </c>
      <c r="D132" s="38" t="s">
        <v>455</v>
      </c>
      <c r="E132" s="38" t="s">
        <v>456</v>
      </c>
      <c r="F132" s="38" t="s">
        <v>165</v>
      </c>
      <c r="G132" s="38" t="s">
        <v>166</v>
      </c>
      <c r="H132" s="38"/>
      <c r="I132" s="38" t="s">
        <v>170</v>
      </c>
      <c r="J132" s="38" t="s">
        <v>23</v>
      </c>
      <c r="K132" s="61" t="s">
        <v>457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7" t="s">
        <v>170</v>
      </c>
      <c r="AN132" s="49" t="s">
        <v>581</v>
      </c>
      <c r="AO132" s="37" t="s">
        <v>581</v>
      </c>
      <c r="AP132" s="50" t="s">
        <v>577</v>
      </c>
      <c r="AQ132" s="37" t="s">
        <v>167</v>
      </c>
      <c r="AR132" s="37" t="s">
        <v>596</v>
      </c>
      <c r="AS132" s="52" t="s">
        <v>582</v>
      </c>
      <c r="AT132" s="51" t="s">
        <v>583</v>
      </c>
      <c r="AU132" s="52" t="s">
        <v>584</v>
      </c>
      <c r="AV132" s="51" t="s">
        <v>585</v>
      </c>
      <c r="AW132" s="37" t="s">
        <v>597</v>
      </c>
      <c r="AX132" s="37" t="s">
        <v>597</v>
      </c>
      <c r="AY132" s="53">
        <v>45231</v>
      </c>
      <c r="AZ132" s="53">
        <v>46082</v>
      </c>
      <c r="BA132" s="37" t="s">
        <v>609</v>
      </c>
      <c r="BB132" s="37" t="s">
        <v>170</v>
      </c>
      <c r="BC132" s="63">
        <v>45231</v>
      </c>
      <c r="BD132" s="63">
        <v>46082</v>
      </c>
      <c r="BE132" s="37" t="s">
        <v>602</v>
      </c>
      <c r="BF132" s="37" t="s">
        <v>610</v>
      </c>
      <c r="BG132" s="39" t="b">
        <f t="shared" ref="BG132:BG195" si="8">IF(A132="","",AND(TRIM(G132&amp;"")&lt;&gt;"",UPPER(TRIM(G132&amp;""))&lt;&gt;"NO"))</f>
        <v>1</v>
      </c>
      <c r="BH132" s="39" t="str">
        <f t="shared" ref="BH132:BH195" si="9">IF(J132="","",IF(ISNUMBER(SEARCH("absen",J132)),"Absence of Drainage Network",IF(OR(ISNUMBER(SEARCH("design",J132)),ISNUMBER(SEARCH("capacity",J132))),"Inadequate Design Capacity",IF(OR(ISNUMBER(SEARCH("upgrade",J132)),ISNUMBER(SEARCH("network",J132)),ISNUMBER(SEARCH("topog",J132)),ISNUMBER(SEARCH("road",J132))),"Topography &amp; Road Engineering","CHECK - map manually"))))</f>
        <v>Inadequate Design Capacity</v>
      </c>
      <c r="BI132" s="39" t="b">
        <f t="shared" ref="BI132:BI195" si="10">IF(A132="","",AND(UPPER(TRIM(BF132&amp;""))="IDD",OR(TRIM(AN132&amp;"")&lt;&gt;"",TRIM(AY132&amp;"")&lt;&gt;"",TRIM(AZ132&amp;"")&lt;&gt;"")))</f>
        <v>0</v>
      </c>
      <c r="BJ132">
        <f t="shared" ref="BJ132:BJ195" si="11">IF(A132="","",IF(ISNUMBER(AZ132),AZ132,"CLIENT INPUT REQUIRED"))</f>
        <v>46082</v>
      </c>
      <c r="BK132" s="39" t="str">
        <f>IF(A132="","",IF(BI132&lt;&gt;TRUE(),"No specific plan",IF(ISNUMBER(BJ132),IF(BJ132&lt;'Exec Summary'!$C$4,"Resolved before Feb 2027","Resolved after Feb 2027"),"CLIENT INPUT REQUIRED")))</f>
        <v>No specific plan</v>
      </c>
    </row>
    <row r="133" spans="1:63" ht="27" customHeight="1" x14ac:dyDescent="0.25">
      <c r="A133" s="38">
        <v>130</v>
      </c>
      <c r="B133" s="38" t="s">
        <v>434</v>
      </c>
      <c r="C133" s="38" t="s">
        <v>458</v>
      </c>
      <c r="D133" s="38">
        <v>24.322510999999999</v>
      </c>
      <c r="E133" s="38">
        <v>55.785148999999997</v>
      </c>
      <c r="F133" s="38" t="s">
        <v>165</v>
      </c>
      <c r="G133" s="38" t="s">
        <v>166</v>
      </c>
      <c r="H133" s="38"/>
      <c r="I133" s="38" t="s">
        <v>170</v>
      </c>
      <c r="J133" s="38" t="s">
        <v>23</v>
      </c>
      <c r="K133" s="61" t="s">
        <v>459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7" t="s">
        <v>170</v>
      </c>
      <c r="AN133" s="49" t="s">
        <v>581</v>
      </c>
      <c r="AO133" s="37" t="s">
        <v>581</v>
      </c>
      <c r="AP133" s="50" t="s">
        <v>577</v>
      </c>
      <c r="AQ133" s="37" t="s">
        <v>167</v>
      </c>
      <c r="AR133" s="37" t="s">
        <v>596</v>
      </c>
      <c r="AS133" s="52" t="s">
        <v>582</v>
      </c>
      <c r="AT133" s="51" t="s">
        <v>583</v>
      </c>
      <c r="AU133" s="52" t="s">
        <v>584</v>
      </c>
      <c r="AV133" s="51" t="s">
        <v>585</v>
      </c>
      <c r="AW133" s="37" t="s">
        <v>597</v>
      </c>
      <c r="AX133" s="37" t="s">
        <v>597</v>
      </c>
      <c r="AY133" s="53">
        <v>45231</v>
      </c>
      <c r="AZ133" s="53">
        <v>46082</v>
      </c>
      <c r="BA133" s="37" t="s">
        <v>609</v>
      </c>
      <c r="BB133" s="37" t="s">
        <v>170</v>
      </c>
      <c r="BC133" s="63">
        <v>45231</v>
      </c>
      <c r="BD133" s="63">
        <v>46082</v>
      </c>
      <c r="BE133" s="37" t="s">
        <v>602</v>
      </c>
      <c r="BF133" s="37" t="s">
        <v>610</v>
      </c>
      <c r="BG133" s="39" t="b">
        <f t="shared" si="8"/>
        <v>1</v>
      </c>
      <c r="BH133" s="39" t="str">
        <f t="shared" si="9"/>
        <v>Inadequate Design Capacity</v>
      </c>
      <c r="BI133" s="39" t="b">
        <f t="shared" si="10"/>
        <v>0</v>
      </c>
      <c r="BJ133">
        <f t="shared" si="11"/>
        <v>46082</v>
      </c>
      <c r="BK133" s="39" t="str">
        <f>IF(A133="","",IF(BI133&lt;&gt;TRUE(),"No specific plan",IF(ISNUMBER(BJ133),IF(BJ133&lt;'Exec Summary'!$C$4,"Resolved before Feb 2027","Resolved after Feb 2027"),"CLIENT INPUT REQUIRED")))</f>
        <v>No specific plan</v>
      </c>
    </row>
    <row r="134" spans="1:63" ht="27" customHeight="1" x14ac:dyDescent="0.25">
      <c r="A134" s="38">
        <v>131</v>
      </c>
      <c r="B134" s="38" t="s">
        <v>434</v>
      </c>
      <c r="C134" s="38" t="s">
        <v>460</v>
      </c>
      <c r="D134" s="38">
        <v>24.308800999999999</v>
      </c>
      <c r="E134" s="38">
        <v>55.760494999999999</v>
      </c>
      <c r="F134" s="38" t="s">
        <v>165</v>
      </c>
      <c r="G134" s="38" t="s">
        <v>166</v>
      </c>
      <c r="H134" s="38"/>
      <c r="I134" s="38" t="s">
        <v>170</v>
      </c>
      <c r="J134" s="38" t="s">
        <v>23</v>
      </c>
      <c r="K134" s="61" t="s">
        <v>461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7" t="s">
        <v>167</v>
      </c>
      <c r="AN134" s="49" t="s">
        <v>576</v>
      </c>
      <c r="AO134" s="37" t="s">
        <v>576</v>
      </c>
      <c r="AP134" s="50" t="s">
        <v>577</v>
      </c>
      <c r="AQ134" s="37" t="s">
        <v>167</v>
      </c>
      <c r="AR134" s="37" t="s">
        <v>596</v>
      </c>
      <c r="AS134" s="52" t="s">
        <v>582</v>
      </c>
      <c r="AT134" s="51" t="s">
        <v>583</v>
      </c>
      <c r="AU134" s="51" t="s">
        <v>576</v>
      </c>
      <c r="AV134" s="51" t="s">
        <v>576</v>
      </c>
      <c r="AW134" s="37" t="s">
        <v>597</v>
      </c>
      <c r="AX134" s="37" t="s">
        <v>597</v>
      </c>
      <c r="AY134" s="53" t="s">
        <v>580</v>
      </c>
      <c r="AZ134" s="53" t="s">
        <v>580</v>
      </c>
      <c r="BA134" s="37" t="s">
        <v>580</v>
      </c>
      <c r="BB134" s="37" t="s">
        <v>167</v>
      </c>
      <c r="BC134" s="37" t="s">
        <v>596</v>
      </c>
      <c r="BD134" s="37" t="s">
        <v>596</v>
      </c>
      <c r="BE134" s="37" t="s">
        <v>598</v>
      </c>
      <c r="BF134" s="37" t="s">
        <v>599</v>
      </c>
      <c r="BG134" s="39" t="b">
        <f t="shared" si="8"/>
        <v>1</v>
      </c>
      <c r="BH134" s="39" t="str">
        <f t="shared" si="9"/>
        <v>Inadequate Design Capacity</v>
      </c>
      <c r="BI134" s="39" t="b">
        <f t="shared" si="10"/>
        <v>0</v>
      </c>
      <c r="BJ134" t="str">
        <f t="shared" si="11"/>
        <v>CLIENT INPUT REQUIRED</v>
      </c>
      <c r="BK134" s="39" t="str">
        <f>IF(A134="","",IF(BI134&lt;&gt;TRUE(),"No specific plan",IF(ISNUMBER(BJ134),IF(BJ134&lt;'Exec Summary'!$C$4,"Resolved before Feb 2027","Resolved after Feb 2027"),"CLIENT INPUT REQUIRED")))</f>
        <v>No specific plan</v>
      </c>
    </row>
    <row r="135" spans="1:63" ht="27" customHeight="1" x14ac:dyDescent="0.25">
      <c r="A135" s="38">
        <v>132</v>
      </c>
      <c r="B135" s="38" t="s">
        <v>434</v>
      </c>
      <c r="C135" s="38" t="s">
        <v>462</v>
      </c>
      <c r="D135" s="38">
        <v>24.295012</v>
      </c>
      <c r="E135" s="38">
        <v>55.761558000000001</v>
      </c>
      <c r="F135" s="38" t="s">
        <v>165</v>
      </c>
      <c r="G135" s="38" t="s">
        <v>166</v>
      </c>
      <c r="H135" s="38"/>
      <c r="I135" s="38" t="s">
        <v>170</v>
      </c>
      <c r="J135" s="38" t="s">
        <v>23</v>
      </c>
      <c r="K135" s="61" t="s">
        <v>463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7" t="s">
        <v>167</v>
      </c>
      <c r="AN135" s="49" t="s">
        <v>576</v>
      </c>
      <c r="AO135" s="37" t="s">
        <v>576</v>
      </c>
      <c r="AP135" s="50" t="s">
        <v>577</v>
      </c>
      <c r="AQ135" s="37" t="s">
        <v>167</v>
      </c>
      <c r="AR135" s="37" t="s">
        <v>596</v>
      </c>
      <c r="AS135" s="52" t="s">
        <v>582</v>
      </c>
      <c r="AT135" s="51" t="s">
        <v>583</v>
      </c>
      <c r="AU135" s="51" t="s">
        <v>576</v>
      </c>
      <c r="AV135" s="51" t="s">
        <v>576</v>
      </c>
      <c r="AW135" s="37" t="s">
        <v>597</v>
      </c>
      <c r="AX135" s="37" t="s">
        <v>597</v>
      </c>
      <c r="AY135" s="53" t="s">
        <v>580</v>
      </c>
      <c r="AZ135" s="53" t="s">
        <v>580</v>
      </c>
      <c r="BA135" s="37" t="s">
        <v>580</v>
      </c>
      <c r="BB135" s="37" t="s">
        <v>167</v>
      </c>
      <c r="BC135" s="37" t="s">
        <v>596</v>
      </c>
      <c r="BD135" s="37" t="s">
        <v>596</v>
      </c>
      <c r="BE135" s="37" t="s">
        <v>598</v>
      </c>
      <c r="BF135" s="37" t="s">
        <v>599</v>
      </c>
      <c r="BG135" s="39" t="b">
        <f t="shared" si="8"/>
        <v>1</v>
      </c>
      <c r="BH135" s="39" t="str">
        <f t="shared" si="9"/>
        <v>Inadequate Design Capacity</v>
      </c>
      <c r="BI135" s="39" t="b">
        <f t="shared" si="10"/>
        <v>0</v>
      </c>
      <c r="BJ135" t="str">
        <f t="shared" si="11"/>
        <v>CLIENT INPUT REQUIRED</v>
      </c>
      <c r="BK135" s="39" t="str">
        <f>IF(A135="","",IF(BI135&lt;&gt;TRUE(),"No specific plan",IF(ISNUMBER(BJ135),IF(BJ135&lt;'Exec Summary'!$C$4,"Resolved before Feb 2027","Resolved after Feb 2027"),"CLIENT INPUT REQUIRED")))</f>
        <v>No specific plan</v>
      </c>
    </row>
    <row r="136" spans="1:63" ht="27" customHeight="1" x14ac:dyDescent="0.25">
      <c r="A136" s="38">
        <v>133</v>
      </c>
      <c r="B136" s="38" t="s">
        <v>434</v>
      </c>
      <c r="C136" s="38" t="s">
        <v>464</v>
      </c>
      <c r="D136" s="38">
        <v>24.298031000000002</v>
      </c>
      <c r="E136" s="38">
        <v>55.765607000000003</v>
      </c>
      <c r="F136" s="38" t="s">
        <v>165</v>
      </c>
      <c r="G136" s="38" t="s">
        <v>166</v>
      </c>
      <c r="H136" s="38"/>
      <c r="I136" s="38" t="s">
        <v>170</v>
      </c>
      <c r="J136" s="38" t="s">
        <v>23</v>
      </c>
      <c r="K136" s="61" t="s">
        <v>465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7" t="s">
        <v>170</v>
      </c>
      <c r="AN136" s="49" t="s">
        <v>581</v>
      </c>
      <c r="AO136" s="37" t="s">
        <v>581</v>
      </c>
      <c r="AP136" s="50" t="s">
        <v>577</v>
      </c>
      <c r="AQ136" s="37" t="s">
        <v>167</v>
      </c>
      <c r="AR136" s="37" t="s">
        <v>596</v>
      </c>
      <c r="AS136" s="52" t="s">
        <v>582</v>
      </c>
      <c r="AT136" s="51" t="s">
        <v>583</v>
      </c>
      <c r="AU136" s="52" t="s">
        <v>584</v>
      </c>
      <c r="AV136" s="51" t="s">
        <v>585</v>
      </c>
      <c r="AW136" s="37" t="s">
        <v>597</v>
      </c>
      <c r="AX136" s="37" t="s">
        <v>597</v>
      </c>
      <c r="AY136" s="53">
        <v>45231</v>
      </c>
      <c r="AZ136" s="53">
        <v>46082</v>
      </c>
      <c r="BA136" s="37" t="s">
        <v>609</v>
      </c>
      <c r="BB136" s="37" t="s">
        <v>170</v>
      </c>
      <c r="BC136" s="63">
        <v>45231</v>
      </c>
      <c r="BD136" s="63">
        <v>46082</v>
      </c>
      <c r="BE136" s="37" t="s">
        <v>602</v>
      </c>
      <c r="BF136" s="37" t="s">
        <v>610</v>
      </c>
      <c r="BG136" s="39" t="b">
        <f t="shared" si="8"/>
        <v>1</v>
      </c>
      <c r="BH136" s="39" t="str">
        <f t="shared" si="9"/>
        <v>Inadequate Design Capacity</v>
      </c>
      <c r="BI136" s="39" t="b">
        <f t="shared" si="10"/>
        <v>0</v>
      </c>
      <c r="BJ136">
        <f t="shared" si="11"/>
        <v>46082</v>
      </c>
      <c r="BK136" s="39" t="str">
        <f>IF(A136="","",IF(BI136&lt;&gt;TRUE(),"No specific plan",IF(ISNUMBER(BJ136),IF(BJ136&lt;'Exec Summary'!$C$4,"Resolved before Feb 2027","Resolved after Feb 2027"),"CLIENT INPUT REQUIRED")))</f>
        <v>No specific plan</v>
      </c>
    </row>
    <row r="137" spans="1:63" ht="27" customHeight="1" x14ac:dyDescent="0.25">
      <c r="A137" s="38">
        <v>134</v>
      </c>
      <c r="B137" s="38" t="s">
        <v>434</v>
      </c>
      <c r="C137" s="38" t="s">
        <v>466</v>
      </c>
      <c r="D137" s="38">
        <v>24.262899999999998</v>
      </c>
      <c r="E137" s="38">
        <v>55.767023999999999</v>
      </c>
      <c r="F137" s="38" t="s">
        <v>165</v>
      </c>
      <c r="G137" s="38" t="s">
        <v>166</v>
      </c>
      <c r="H137" s="38"/>
      <c r="I137" s="38" t="s">
        <v>170</v>
      </c>
      <c r="J137" s="38" t="s">
        <v>23</v>
      </c>
      <c r="K137" s="61" t="s">
        <v>467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7" t="s">
        <v>167</v>
      </c>
      <c r="AN137" s="49" t="s">
        <v>576</v>
      </c>
      <c r="AO137" s="37" t="s">
        <v>576</v>
      </c>
      <c r="AP137" s="50" t="s">
        <v>577</v>
      </c>
      <c r="AQ137" s="37" t="s">
        <v>167</v>
      </c>
      <c r="AR137" s="37" t="s">
        <v>596</v>
      </c>
      <c r="AS137" s="52" t="s">
        <v>582</v>
      </c>
      <c r="AT137" s="51" t="s">
        <v>583</v>
      </c>
      <c r="AU137" s="51" t="s">
        <v>576</v>
      </c>
      <c r="AV137" s="51" t="s">
        <v>576</v>
      </c>
      <c r="AW137" s="37" t="s">
        <v>597</v>
      </c>
      <c r="AX137" s="37" t="s">
        <v>597</v>
      </c>
      <c r="AY137" s="53" t="s">
        <v>580</v>
      </c>
      <c r="AZ137" s="53" t="s">
        <v>580</v>
      </c>
      <c r="BA137" s="37" t="s">
        <v>580</v>
      </c>
      <c r="BB137" s="37" t="s">
        <v>167</v>
      </c>
      <c r="BC137" s="37" t="s">
        <v>596</v>
      </c>
      <c r="BD137" s="37" t="s">
        <v>596</v>
      </c>
      <c r="BE137" s="37" t="s">
        <v>598</v>
      </c>
      <c r="BF137" s="37" t="s">
        <v>599</v>
      </c>
      <c r="BG137" s="39" t="b">
        <f t="shared" si="8"/>
        <v>1</v>
      </c>
      <c r="BH137" s="39" t="str">
        <f t="shared" si="9"/>
        <v>Inadequate Design Capacity</v>
      </c>
      <c r="BI137" s="39" t="b">
        <f t="shared" si="10"/>
        <v>0</v>
      </c>
      <c r="BJ137" t="str">
        <f t="shared" si="11"/>
        <v>CLIENT INPUT REQUIRED</v>
      </c>
      <c r="BK137" s="39" t="str">
        <f>IF(A137="","",IF(BI137&lt;&gt;TRUE(),"No specific plan",IF(ISNUMBER(BJ137),IF(BJ137&lt;'Exec Summary'!$C$4,"Resolved before Feb 2027","Resolved after Feb 2027"),"CLIENT INPUT REQUIRED")))</f>
        <v>No specific plan</v>
      </c>
    </row>
    <row r="138" spans="1:63" ht="27" customHeight="1" x14ac:dyDescent="0.25">
      <c r="A138" s="38">
        <v>135</v>
      </c>
      <c r="B138" s="38" t="s">
        <v>434</v>
      </c>
      <c r="C138" s="38" t="s">
        <v>468</v>
      </c>
      <c r="D138" s="38" t="s">
        <v>469</v>
      </c>
      <c r="E138" s="38" t="s">
        <v>470</v>
      </c>
      <c r="F138" s="38" t="s">
        <v>165</v>
      </c>
      <c r="G138" s="38" t="s">
        <v>166</v>
      </c>
      <c r="H138" s="38"/>
      <c r="I138" s="38" t="s">
        <v>170</v>
      </c>
      <c r="J138" s="38" t="s">
        <v>23</v>
      </c>
      <c r="K138" s="61" t="s">
        <v>471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7" t="s">
        <v>167</v>
      </c>
      <c r="AN138" s="49" t="s">
        <v>576</v>
      </c>
      <c r="AO138" s="37" t="s">
        <v>576</v>
      </c>
      <c r="AP138" s="50" t="s">
        <v>577</v>
      </c>
      <c r="AQ138" s="37" t="s">
        <v>167</v>
      </c>
      <c r="AR138" s="37" t="s">
        <v>596</v>
      </c>
      <c r="AS138" s="52" t="s">
        <v>582</v>
      </c>
      <c r="AT138" s="51" t="s">
        <v>583</v>
      </c>
      <c r="AU138" s="51" t="s">
        <v>576</v>
      </c>
      <c r="AV138" s="51" t="s">
        <v>576</v>
      </c>
      <c r="AW138" s="37" t="s">
        <v>597</v>
      </c>
      <c r="AX138" s="37" t="s">
        <v>597</v>
      </c>
      <c r="AY138" s="53" t="s">
        <v>580</v>
      </c>
      <c r="AZ138" s="53" t="s">
        <v>580</v>
      </c>
      <c r="BA138" s="37" t="s">
        <v>580</v>
      </c>
      <c r="BB138" s="37" t="s">
        <v>167</v>
      </c>
      <c r="BC138" s="37" t="s">
        <v>596</v>
      </c>
      <c r="BD138" s="37" t="s">
        <v>596</v>
      </c>
      <c r="BE138" s="37" t="s">
        <v>598</v>
      </c>
      <c r="BF138" s="37" t="s">
        <v>599</v>
      </c>
      <c r="BG138" s="39" t="b">
        <f t="shared" si="8"/>
        <v>1</v>
      </c>
      <c r="BH138" s="39" t="str">
        <f t="shared" si="9"/>
        <v>Inadequate Design Capacity</v>
      </c>
      <c r="BI138" s="39" t="b">
        <f t="shared" si="10"/>
        <v>0</v>
      </c>
      <c r="BJ138" t="str">
        <f t="shared" si="11"/>
        <v>CLIENT INPUT REQUIRED</v>
      </c>
      <c r="BK138" s="39" t="str">
        <f>IF(A138="","",IF(BI138&lt;&gt;TRUE(),"No specific plan",IF(ISNUMBER(BJ138),IF(BJ138&lt;'Exec Summary'!$C$4,"Resolved before Feb 2027","Resolved after Feb 2027"),"CLIENT INPUT REQUIRED")))</f>
        <v>No specific plan</v>
      </c>
    </row>
    <row r="139" spans="1:63" ht="27" customHeight="1" x14ac:dyDescent="0.25">
      <c r="A139" s="38">
        <v>136</v>
      </c>
      <c r="B139" s="38" t="s">
        <v>472</v>
      </c>
      <c r="C139" s="38" t="s">
        <v>473</v>
      </c>
      <c r="D139" s="38">
        <v>24.200563105963099</v>
      </c>
      <c r="E139" s="38">
        <v>55.761563761371903</v>
      </c>
      <c r="F139" s="38" t="s">
        <v>165</v>
      </c>
      <c r="G139" s="38" t="s">
        <v>166</v>
      </c>
      <c r="H139" s="38"/>
      <c r="I139" s="38" t="s">
        <v>170</v>
      </c>
      <c r="J139" s="38" t="s">
        <v>23</v>
      </c>
      <c r="K139" s="61" t="s">
        <v>474</v>
      </c>
      <c r="L139" s="38"/>
      <c r="M139" s="38"/>
      <c r="N139" s="38"/>
      <c r="O139" s="38"/>
      <c r="P139" s="38">
        <v>3</v>
      </c>
      <c r="Q139" s="38"/>
      <c r="R139" s="38"/>
      <c r="S139" s="38"/>
      <c r="T139" s="38"/>
      <c r="U139" s="38"/>
      <c r="V139" s="38"/>
      <c r="W139" s="38"/>
      <c r="X139" s="38"/>
      <c r="Y139" s="38"/>
      <c r="Z139" s="38">
        <v>15000</v>
      </c>
      <c r="AA139" s="38">
        <v>12</v>
      </c>
      <c r="AB139" s="38">
        <v>60000</v>
      </c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7" t="s">
        <v>170</v>
      </c>
      <c r="AN139" s="49" t="s">
        <v>581</v>
      </c>
      <c r="AO139" s="37" t="s">
        <v>581</v>
      </c>
      <c r="AP139" s="50" t="s">
        <v>577</v>
      </c>
      <c r="AQ139" s="37" t="s">
        <v>167</v>
      </c>
      <c r="AR139" s="37" t="s">
        <v>596</v>
      </c>
      <c r="AS139" s="52" t="s">
        <v>582</v>
      </c>
      <c r="AT139" s="51" t="s">
        <v>583</v>
      </c>
      <c r="AU139" s="52" t="s">
        <v>584</v>
      </c>
      <c r="AV139" s="51" t="s">
        <v>585</v>
      </c>
      <c r="AW139" s="37" t="s">
        <v>597</v>
      </c>
      <c r="AX139" s="37" t="s">
        <v>597</v>
      </c>
      <c r="AY139" s="53">
        <v>46327</v>
      </c>
      <c r="AZ139" s="53">
        <v>46722</v>
      </c>
      <c r="BA139" s="37" t="s">
        <v>600</v>
      </c>
      <c r="BB139" s="37" t="s">
        <v>170</v>
      </c>
      <c r="BC139" s="37" t="s">
        <v>596</v>
      </c>
      <c r="BD139" s="37" t="s">
        <v>596</v>
      </c>
      <c r="BE139" s="37" t="s">
        <v>598</v>
      </c>
      <c r="BF139" s="37" t="s">
        <v>599</v>
      </c>
      <c r="BG139" s="39" t="b">
        <f t="shared" si="8"/>
        <v>1</v>
      </c>
      <c r="BH139" s="39" t="str">
        <f t="shared" si="9"/>
        <v>Inadequate Design Capacity</v>
      </c>
      <c r="BI139" s="39" t="b">
        <f t="shared" si="10"/>
        <v>0</v>
      </c>
      <c r="BJ139">
        <f t="shared" si="11"/>
        <v>46722</v>
      </c>
      <c r="BK139" s="39" t="str">
        <f>IF(A139="","",IF(BI139&lt;&gt;TRUE(),"No specific plan",IF(ISNUMBER(BJ139),IF(BJ139&lt;'Exec Summary'!$C$4,"Resolved before Feb 2027","Resolved after Feb 2027"),"CLIENT INPUT REQUIRED")))</f>
        <v>No specific plan</v>
      </c>
    </row>
    <row r="140" spans="1:63" ht="27" customHeight="1" x14ac:dyDescent="0.25">
      <c r="A140" s="38">
        <v>137</v>
      </c>
      <c r="B140" s="38" t="s">
        <v>472</v>
      </c>
      <c r="C140" s="38" t="s">
        <v>473</v>
      </c>
      <c r="D140" s="38" t="s">
        <v>475</v>
      </c>
      <c r="E140" s="38" t="s">
        <v>476</v>
      </c>
      <c r="F140" s="38" t="s">
        <v>165</v>
      </c>
      <c r="G140" s="38" t="s">
        <v>166</v>
      </c>
      <c r="H140" s="38"/>
      <c r="I140" s="38" t="s">
        <v>170</v>
      </c>
      <c r="J140" s="38" t="s">
        <v>23</v>
      </c>
      <c r="K140" s="61" t="s">
        <v>474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7" t="s">
        <v>170</v>
      </c>
      <c r="AN140" s="49" t="s">
        <v>581</v>
      </c>
      <c r="AO140" s="37" t="s">
        <v>581</v>
      </c>
      <c r="AP140" s="50" t="s">
        <v>577</v>
      </c>
      <c r="AQ140" s="37" t="s">
        <v>167</v>
      </c>
      <c r="AR140" s="37" t="s">
        <v>596</v>
      </c>
      <c r="AS140" s="52" t="s">
        <v>582</v>
      </c>
      <c r="AT140" s="51" t="s">
        <v>583</v>
      </c>
      <c r="AU140" s="52" t="s">
        <v>584</v>
      </c>
      <c r="AV140" s="51" t="s">
        <v>585</v>
      </c>
      <c r="AW140" s="37" t="s">
        <v>597</v>
      </c>
      <c r="AX140" s="37" t="s">
        <v>597</v>
      </c>
      <c r="AY140" s="53">
        <v>46327</v>
      </c>
      <c r="AZ140" s="53">
        <v>46722</v>
      </c>
      <c r="BA140" s="37" t="s">
        <v>600</v>
      </c>
      <c r="BB140" s="37" t="s">
        <v>170</v>
      </c>
      <c r="BC140" s="37" t="s">
        <v>596</v>
      </c>
      <c r="BD140" s="37" t="s">
        <v>596</v>
      </c>
      <c r="BE140" s="37" t="s">
        <v>598</v>
      </c>
      <c r="BF140" s="37" t="s">
        <v>599</v>
      </c>
      <c r="BG140" s="39" t="b">
        <f t="shared" si="8"/>
        <v>1</v>
      </c>
      <c r="BH140" s="39" t="str">
        <f t="shared" si="9"/>
        <v>Inadequate Design Capacity</v>
      </c>
      <c r="BI140" s="39" t="b">
        <f t="shared" si="10"/>
        <v>0</v>
      </c>
      <c r="BJ140">
        <f t="shared" si="11"/>
        <v>46722</v>
      </c>
      <c r="BK140" s="39" t="str">
        <f>IF(A140="","",IF(BI140&lt;&gt;TRUE(),"No specific plan",IF(ISNUMBER(BJ140),IF(BJ140&lt;'Exec Summary'!$C$4,"Resolved before Feb 2027","Resolved after Feb 2027"),"CLIENT INPUT REQUIRED")))</f>
        <v>No specific plan</v>
      </c>
    </row>
    <row r="141" spans="1:63" ht="27" customHeight="1" x14ac:dyDescent="0.25">
      <c r="A141" s="38">
        <v>138</v>
      </c>
      <c r="B141" s="38" t="s">
        <v>472</v>
      </c>
      <c r="C141" s="38" t="s">
        <v>477</v>
      </c>
      <c r="D141" s="38">
        <v>24.196209</v>
      </c>
      <c r="E141" s="38">
        <v>55.750827999999998</v>
      </c>
      <c r="F141" s="38" t="s">
        <v>165</v>
      </c>
      <c r="G141" s="38" t="s">
        <v>360</v>
      </c>
      <c r="H141" s="38"/>
      <c r="I141" s="38" t="s">
        <v>167</v>
      </c>
      <c r="J141" s="38" t="s">
        <v>22</v>
      </c>
      <c r="K141" s="61" t="s">
        <v>478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7" t="s">
        <v>170</v>
      </c>
      <c r="AN141" s="49" t="s">
        <v>581</v>
      </c>
      <c r="AO141" s="37" t="s">
        <v>581</v>
      </c>
      <c r="AP141" s="50" t="s">
        <v>577</v>
      </c>
      <c r="AQ141" s="37" t="s">
        <v>167</v>
      </c>
      <c r="AR141" s="37" t="s">
        <v>596</v>
      </c>
      <c r="AS141" s="52" t="s">
        <v>582</v>
      </c>
      <c r="AT141" s="51" t="s">
        <v>583</v>
      </c>
      <c r="AU141" s="52" t="s">
        <v>584</v>
      </c>
      <c r="AV141" s="51" t="s">
        <v>585</v>
      </c>
      <c r="AW141" s="37" t="s">
        <v>597</v>
      </c>
      <c r="AX141" s="37" t="s">
        <v>597</v>
      </c>
      <c r="AY141" s="53">
        <v>46327</v>
      </c>
      <c r="AZ141" s="53">
        <v>46722</v>
      </c>
      <c r="BA141" s="37" t="s">
        <v>600</v>
      </c>
      <c r="BB141" s="37" t="s">
        <v>170</v>
      </c>
      <c r="BC141" s="37" t="s">
        <v>596</v>
      </c>
      <c r="BD141" s="37" t="s">
        <v>596</v>
      </c>
      <c r="BE141" s="37" t="s">
        <v>598</v>
      </c>
      <c r="BF141" s="37" t="s">
        <v>599</v>
      </c>
      <c r="BG141" s="39" t="b">
        <f t="shared" si="8"/>
        <v>1</v>
      </c>
      <c r="BH141" s="39" t="str">
        <f t="shared" si="9"/>
        <v>Topography &amp; Road Engineering</v>
      </c>
      <c r="BI141" s="39" t="b">
        <f t="shared" si="10"/>
        <v>0</v>
      </c>
      <c r="BJ141">
        <f t="shared" si="11"/>
        <v>46722</v>
      </c>
      <c r="BK141" s="39" t="str">
        <f>IF(A141="","",IF(BI141&lt;&gt;TRUE(),"No specific plan",IF(ISNUMBER(BJ141),IF(BJ141&lt;'Exec Summary'!$C$4,"Resolved before Feb 2027","Resolved after Feb 2027"),"CLIENT INPUT REQUIRED")))</f>
        <v>No specific plan</v>
      </c>
    </row>
    <row r="142" spans="1:63" ht="27" customHeight="1" x14ac:dyDescent="0.25">
      <c r="A142" s="38">
        <v>139</v>
      </c>
      <c r="B142" s="38" t="s">
        <v>472</v>
      </c>
      <c r="C142" s="38" t="s">
        <v>479</v>
      </c>
      <c r="D142" s="38">
        <v>24.186687514370799</v>
      </c>
      <c r="E142" s="38">
        <v>55.758265115342901</v>
      </c>
      <c r="F142" s="38" t="s">
        <v>165</v>
      </c>
      <c r="G142" s="38" t="s">
        <v>166</v>
      </c>
      <c r="H142" s="38"/>
      <c r="I142" s="38" t="s">
        <v>170</v>
      </c>
      <c r="J142" s="38" t="s">
        <v>23</v>
      </c>
      <c r="K142" s="61" t="s">
        <v>480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7" t="s">
        <v>170</v>
      </c>
      <c r="AN142" s="49" t="s">
        <v>581</v>
      </c>
      <c r="AO142" s="37" t="s">
        <v>581</v>
      </c>
      <c r="AP142" s="50" t="s">
        <v>577</v>
      </c>
      <c r="AQ142" s="37" t="s">
        <v>167</v>
      </c>
      <c r="AR142" s="37" t="s">
        <v>596</v>
      </c>
      <c r="AS142" s="52" t="s">
        <v>582</v>
      </c>
      <c r="AT142" s="51" t="s">
        <v>583</v>
      </c>
      <c r="AU142" s="52" t="s">
        <v>584</v>
      </c>
      <c r="AV142" s="51" t="s">
        <v>585</v>
      </c>
      <c r="AW142" s="37" t="s">
        <v>597</v>
      </c>
      <c r="AX142" s="37" t="s">
        <v>597</v>
      </c>
      <c r="AY142" s="53">
        <v>46327</v>
      </c>
      <c r="AZ142" s="53">
        <v>46722</v>
      </c>
      <c r="BA142" s="37" t="s">
        <v>600</v>
      </c>
      <c r="BB142" s="37" t="s">
        <v>170</v>
      </c>
      <c r="BC142" s="37" t="s">
        <v>596</v>
      </c>
      <c r="BD142" s="37" t="s">
        <v>596</v>
      </c>
      <c r="BE142" s="37" t="s">
        <v>598</v>
      </c>
      <c r="BF142" s="37" t="s">
        <v>599</v>
      </c>
      <c r="BG142" s="39" t="b">
        <f t="shared" si="8"/>
        <v>1</v>
      </c>
      <c r="BH142" s="39" t="str">
        <f t="shared" si="9"/>
        <v>Inadequate Design Capacity</v>
      </c>
      <c r="BI142" s="39" t="b">
        <f t="shared" si="10"/>
        <v>0</v>
      </c>
      <c r="BJ142">
        <f t="shared" si="11"/>
        <v>46722</v>
      </c>
      <c r="BK142" s="39" t="str">
        <f>IF(A142="","",IF(BI142&lt;&gt;TRUE(),"No specific plan",IF(ISNUMBER(BJ142),IF(BJ142&lt;'Exec Summary'!$C$4,"Resolved before Feb 2027","Resolved after Feb 2027"),"CLIENT INPUT REQUIRED")))</f>
        <v>No specific plan</v>
      </c>
    </row>
    <row r="143" spans="1:63" ht="27" customHeight="1" x14ac:dyDescent="0.25">
      <c r="A143" s="38">
        <v>140</v>
      </c>
      <c r="B143" s="38" t="s">
        <v>472</v>
      </c>
      <c r="C143" s="38" t="s">
        <v>481</v>
      </c>
      <c r="D143" s="38">
        <v>24.205546999999999</v>
      </c>
      <c r="E143" s="38">
        <v>55.760846000000001</v>
      </c>
      <c r="F143" s="38" t="s">
        <v>165</v>
      </c>
      <c r="G143" s="38" t="s">
        <v>166</v>
      </c>
      <c r="H143" s="38"/>
      <c r="I143" s="38" t="s">
        <v>167</v>
      </c>
      <c r="J143" s="38" t="s">
        <v>22</v>
      </c>
      <c r="K143" s="61" t="s">
        <v>482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7" t="s">
        <v>170</v>
      </c>
      <c r="AN143" s="49" t="s">
        <v>589</v>
      </c>
      <c r="AO143" s="37" t="s">
        <v>589</v>
      </c>
      <c r="AP143" s="50" t="s">
        <v>577</v>
      </c>
      <c r="AQ143" s="37" t="s">
        <v>167</v>
      </c>
      <c r="AR143" s="37" t="s">
        <v>596</v>
      </c>
      <c r="AS143" s="52" t="s">
        <v>582</v>
      </c>
      <c r="AT143" s="51" t="s">
        <v>583</v>
      </c>
      <c r="AU143" s="52" t="s">
        <v>587</v>
      </c>
      <c r="AV143" s="51" t="s">
        <v>588</v>
      </c>
      <c r="AW143" s="37" t="s">
        <v>597</v>
      </c>
      <c r="AX143" s="37" t="s">
        <v>597</v>
      </c>
      <c r="AY143" s="53">
        <v>46419</v>
      </c>
      <c r="AZ143" s="53">
        <v>46753</v>
      </c>
      <c r="BA143" s="37" t="s">
        <v>600</v>
      </c>
      <c r="BB143" s="37" t="s">
        <v>170</v>
      </c>
      <c r="BC143" s="37" t="s">
        <v>596</v>
      </c>
      <c r="BD143" s="37" t="s">
        <v>596</v>
      </c>
      <c r="BE143" s="37" t="s">
        <v>598</v>
      </c>
      <c r="BF143" s="37" t="s">
        <v>599</v>
      </c>
      <c r="BG143" s="39" t="b">
        <f t="shared" si="8"/>
        <v>1</v>
      </c>
      <c r="BH143" s="39" t="str">
        <f t="shared" si="9"/>
        <v>Topography &amp; Road Engineering</v>
      </c>
      <c r="BI143" s="39" t="b">
        <f t="shared" si="10"/>
        <v>0</v>
      </c>
      <c r="BJ143">
        <f t="shared" si="11"/>
        <v>46753</v>
      </c>
      <c r="BK143" s="39" t="str">
        <f>IF(A143="","",IF(BI143&lt;&gt;TRUE(),"No specific plan",IF(ISNUMBER(BJ143),IF(BJ143&lt;'Exec Summary'!$C$4,"Resolved before Feb 2027","Resolved after Feb 2027"),"CLIENT INPUT REQUIRED")))</f>
        <v>No specific plan</v>
      </c>
    </row>
    <row r="144" spans="1:63" ht="27" customHeight="1" x14ac:dyDescent="0.25">
      <c r="A144" s="38">
        <v>141</v>
      </c>
      <c r="B144" s="38" t="s">
        <v>472</v>
      </c>
      <c r="C144" s="38" t="s">
        <v>483</v>
      </c>
      <c r="D144" s="38">
        <v>24.175280000000001</v>
      </c>
      <c r="E144" s="38">
        <v>55.763669999999998</v>
      </c>
      <c r="F144" s="38" t="s">
        <v>165</v>
      </c>
      <c r="G144" s="38" t="s">
        <v>166</v>
      </c>
      <c r="H144" s="38"/>
      <c r="I144" s="38" t="s">
        <v>170</v>
      </c>
      <c r="J144" s="38" t="s">
        <v>23</v>
      </c>
      <c r="K144" s="61" t="s">
        <v>484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7" t="s">
        <v>170</v>
      </c>
      <c r="AN144" s="49" t="s">
        <v>581</v>
      </c>
      <c r="AO144" s="37" t="s">
        <v>581</v>
      </c>
      <c r="AP144" s="50" t="s">
        <v>577</v>
      </c>
      <c r="AQ144" s="37" t="s">
        <v>167</v>
      </c>
      <c r="AR144" s="37" t="s">
        <v>596</v>
      </c>
      <c r="AS144" s="52" t="s">
        <v>582</v>
      </c>
      <c r="AT144" s="51" t="s">
        <v>583</v>
      </c>
      <c r="AU144" s="52" t="s">
        <v>584</v>
      </c>
      <c r="AV144" s="51" t="s">
        <v>585</v>
      </c>
      <c r="AW144" s="37" t="s">
        <v>597</v>
      </c>
      <c r="AX144" s="37" t="s">
        <v>597</v>
      </c>
      <c r="AY144" s="53">
        <v>46327</v>
      </c>
      <c r="AZ144" s="53">
        <v>46722</v>
      </c>
      <c r="BA144" s="37" t="s">
        <v>600</v>
      </c>
      <c r="BB144" s="37" t="s">
        <v>170</v>
      </c>
      <c r="BC144" s="37" t="s">
        <v>596</v>
      </c>
      <c r="BD144" s="37" t="s">
        <v>596</v>
      </c>
      <c r="BE144" s="37" t="s">
        <v>598</v>
      </c>
      <c r="BF144" s="37" t="s">
        <v>599</v>
      </c>
      <c r="BG144" s="39" t="b">
        <f t="shared" si="8"/>
        <v>1</v>
      </c>
      <c r="BH144" s="39" t="str">
        <f t="shared" si="9"/>
        <v>Inadequate Design Capacity</v>
      </c>
      <c r="BI144" s="39" t="b">
        <f t="shared" si="10"/>
        <v>0</v>
      </c>
      <c r="BJ144">
        <f t="shared" si="11"/>
        <v>46722</v>
      </c>
      <c r="BK144" s="39" t="str">
        <f>IF(A144="","",IF(BI144&lt;&gt;TRUE(),"No specific plan",IF(ISNUMBER(BJ144),IF(BJ144&lt;'Exec Summary'!$C$4,"Resolved before Feb 2027","Resolved after Feb 2027"),"CLIENT INPUT REQUIRED")))</f>
        <v>No specific plan</v>
      </c>
    </row>
    <row r="145" spans="1:63" ht="27" customHeight="1" x14ac:dyDescent="0.25">
      <c r="A145" s="38">
        <v>142</v>
      </c>
      <c r="B145" s="38" t="s">
        <v>472</v>
      </c>
      <c r="C145" s="38" t="s">
        <v>485</v>
      </c>
      <c r="D145" s="38">
        <v>24.139724999999999</v>
      </c>
      <c r="E145" s="38">
        <v>55.737451999999998</v>
      </c>
      <c r="F145" s="38" t="s">
        <v>165</v>
      </c>
      <c r="G145" s="38" t="s">
        <v>166</v>
      </c>
      <c r="H145" s="38"/>
      <c r="I145" s="38" t="s">
        <v>170</v>
      </c>
      <c r="J145" s="38" t="s">
        <v>23</v>
      </c>
      <c r="K145" s="61" t="s">
        <v>486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7" t="s">
        <v>167</v>
      </c>
      <c r="AN145" s="49" t="s">
        <v>576</v>
      </c>
      <c r="AO145" s="37" t="s">
        <v>576</v>
      </c>
      <c r="AP145" s="50" t="s">
        <v>577</v>
      </c>
      <c r="AQ145" s="37" t="s">
        <v>167</v>
      </c>
      <c r="AR145" s="37" t="s">
        <v>596</v>
      </c>
      <c r="AS145" s="52" t="s">
        <v>582</v>
      </c>
      <c r="AT145" s="51" t="s">
        <v>583</v>
      </c>
      <c r="AU145" s="51" t="s">
        <v>576</v>
      </c>
      <c r="AV145" s="51" t="s">
        <v>576</v>
      </c>
      <c r="AW145" s="37" t="s">
        <v>597</v>
      </c>
      <c r="AX145" s="37" t="s">
        <v>597</v>
      </c>
      <c r="AY145" s="50" t="s">
        <v>580</v>
      </c>
      <c r="AZ145" s="50" t="s">
        <v>580</v>
      </c>
      <c r="BA145" s="37" t="s">
        <v>580</v>
      </c>
      <c r="BB145" s="37" t="s">
        <v>167</v>
      </c>
      <c r="BC145" s="37" t="s">
        <v>596</v>
      </c>
      <c r="BD145" s="37" t="s">
        <v>596</v>
      </c>
      <c r="BE145" s="37" t="s">
        <v>598</v>
      </c>
      <c r="BF145" s="37" t="s">
        <v>599</v>
      </c>
      <c r="BG145" s="39" t="b">
        <f t="shared" si="8"/>
        <v>1</v>
      </c>
      <c r="BH145" s="39" t="str">
        <f t="shared" si="9"/>
        <v>Inadequate Design Capacity</v>
      </c>
      <c r="BI145" s="39" t="b">
        <f t="shared" si="10"/>
        <v>0</v>
      </c>
      <c r="BJ145" t="str">
        <f t="shared" si="11"/>
        <v>CLIENT INPUT REQUIRED</v>
      </c>
      <c r="BK145" s="39" t="str">
        <f>IF(A145="","",IF(BI145&lt;&gt;TRUE(),"No specific plan",IF(ISNUMBER(BJ145),IF(BJ145&lt;'Exec Summary'!$C$4,"Resolved before Feb 2027","Resolved after Feb 2027"),"CLIENT INPUT REQUIRED")))</f>
        <v>No specific plan</v>
      </c>
    </row>
    <row r="146" spans="1:63" ht="27" customHeight="1" x14ac:dyDescent="0.25">
      <c r="A146" s="38">
        <v>143</v>
      </c>
      <c r="B146" s="38" t="s">
        <v>487</v>
      </c>
      <c r="C146" s="38" t="s">
        <v>488</v>
      </c>
      <c r="D146" s="38">
        <v>24.428871999999998</v>
      </c>
      <c r="E146" s="38">
        <v>55.788938999999999</v>
      </c>
      <c r="F146" s="38" t="s">
        <v>13</v>
      </c>
      <c r="G146" s="38" t="s">
        <v>166</v>
      </c>
      <c r="H146" s="38"/>
      <c r="I146" s="38" t="s">
        <v>170</v>
      </c>
      <c r="J146" s="38" t="s">
        <v>23</v>
      </c>
      <c r="K146" s="61" t="s">
        <v>489</v>
      </c>
      <c r="L146" s="38"/>
      <c r="M146" s="38"/>
      <c r="N146" s="38"/>
      <c r="O146" s="38"/>
      <c r="P146" s="38">
        <v>0</v>
      </c>
      <c r="Q146" s="38"/>
      <c r="R146" s="38"/>
      <c r="S146" s="38"/>
      <c r="T146" s="38"/>
      <c r="U146" s="38"/>
      <c r="V146" s="38"/>
      <c r="W146" s="38"/>
      <c r="X146" s="38"/>
      <c r="Y146" s="38"/>
      <c r="Z146" s="38">
        <v>0</v>
      </c>
      <c r="AA146" s="38">
        <v>4</v>
      </c>
      <c r="AB146" s="38">
        <v>20000</v>
      </c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7" t="s">
        <v>170</v>
      </c>
      <c r="AN146" s="49" t="s">
        <v>586</v>
      </c>
      <c r="AO146" s="37" t="s">
        <v>586</v>
      </c>
      <c r="AP146" s="50" t="s">
        <v>577</v>
      </c>
      <c r="AQ146" s="37" t="s">
        <v>167</v>
      </c>
      <c r="AR146" s="37" t="s">
        <v>596</v>
      </c>
      <c r="AS146" s="52" t="s">
        <v>582</v>
      </c>
      <c r="AT146" s="51" t="s">
        <v>583</v>
      </c>
      <c r="AU146" s="52" t="s">
        <v>587</v>
      </c>
      <c r="AV146" s="51" t="s">
        <v>588</v>
      </c>
      <c r="AW146" s="37" t="s">
        <v>597</v>
      </c>
      <c r="AX146" s="37" t="s">
        <v>597</v>
      </c>
      <c r="AY146" s="53">
        <v>46327</v>
      </c>
      <c r="AZ146" s="53">
        <v>46722</v>
      </c>
      <c r="BA146" s="37" t="s">
        <v>600</v>
      </c>
      <c r="BB146" s="37" t="s">
        <v>170</v>
      </c>
      <c r="BC146" s="37" t="s">
        <v>596</v>
      </c>
      <c r="BD146" s="37" t="s">
        <v>596</v>
      </c>
      <c r="BE146" s="37" t="s">
        <v>598</v>
      </c>
      <c r="BF146" s="37" t="s">
        <v>599</v>
      </c>
      <c r="BG146" s="39" t="b">
        <f t="shared" si="8"/>
        <v>1</v>
      </c>
      <c r="BH146" s="39" t="str">
        <f t="shared" si="9"/>
        <v>Inadequate Design Capacity</v>
      </c>
      <c r="BI146" s="39" t="b">
        <f t="shared" si="10"/>
        <v>0</v>
      </c>
      <c r="BJ146">
        <f t="shared" si="11"/>
        <v>46722</v>
      </c>
      <c r="BK146" s="39" t="str">
        <f>IF(A146="","",IF(BI146&lt;&gt;TRUE(),"No specific plan",IF(ISNUMBER(BJ146),IF(BJ146&lt;'Exec Summary'!$C$4,"Resolved before Feb 2027","Resolved after Feb 2027"),"CLIENT INPUT REQUIRED")))</f>
        <v>No specific plan</v>
      </c>
    </row>
    <row r="147" spans="1:63" ht="27" customHeight="1" x14ac:dyDescent="0.25">
      <c r="A147" s="38">
        <v>144</v>
      </c>
      <c r="B147" s="38" t="s">
        <v>487</v>
      </c>
      <c r="C147" s="38" t="s">
        <v>490</v>
      </c>
      <c r="D147" s="38">
        <v>24.488641000000001</v>
      </c>
      <c r="E147" s="38">
        <v>55.77216</v>
      </c>
      <c r="F147" s="38" t="s">
        <v>13</v>
      </c>
      <c r="G147" s="38" t="s">
        <v>166</v>
      </c>
      <c r="H147" s="38"/>
      <c r="I147" s="38" t="s">
        <v>167</v>
      </c>
      <c r="J147" s="38" t="s">
        <v>24</v>
      </c>
      <c r="K147" s="61" t="s">
        <v>491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7" t="s">
        <v>170</v>
      </c>
      <c r="AN147" s="49" t="s">
        <v>586</v>
      </c>
      <c r="AO147" s="37" t="s">
        <v>586</v>
      </c>
      <c r="AP147" s="50" t="s">
        <v>577</v>
      </c>
      <c r="AQ147" s="37" t="s">
        <v>167</v>
      </c>
      <c r="AR147" s="37" t="s">
        <v>596</v>
      </c>
      <c r="AS147" s="52" t="s">
        <v>582</v>
      </c>
      <c r="AT147" s="51" t="s">
        <v>583</v>
      </c>
      <c r="AU147" s="52" t="s">
        <v>587</v>
      </c>
      <c r="AV147" s="51" t="s">
        <v>588</v>
      </c>
      <c r="AW147" s="37" t="s">
        <v>597</v>
      </c>
      <c r="AX147" s="37" t="s">
        <v>597</v>
      </c>
      <c r="AY147" s="53">
        <v>46327</v>
      </c>
      <c r="AZ147" s="53">
        <v>46722</v>
      </c>
      <c r="BA147" s="37" t="s">
        <v>600</v>
      </c>
      <c r="BB147" s="37" t="s">
        <v>170</v>
      </c>
      <c r="BC147" s="37" t="s">
        <v>596</v>
      </c>
      <c r="BD147" s="37" t="s">
        <v>596</v>
      </c>
      <c r="BE147" s="37" t="s">
        <v>598</v>
      </c>
      <c r="BF147" s="37" t="s">
        <v>599</v>
      </c>
      <c r="BG147" s="39" t="b">
        <f t="shared" si="8"/>
        <v>1</v>
      </c>
      <c r="BH147" s="39" t="str">
        <f t="shared" si="9"/>
        <v>Absence of Drainage Network</v>
      </c>
      <c r="BI147" s="39" t="b">
        <f t="shared" si="10"/>
        <v>0</v>
      </c>
      <c r="BJ147">
        <f t="shared" si="11"/>
        <v>46722</v>
      </c>
      <c r="BK147" s="39" t="str">
        <f>IF(A147="","",IF(BI147&lt;&gt;TRUE(),"No specific plan",IF(ISNUMBER(BJ147),IF(BJ147&lt;'Exec Summary'!$C$4,"Resolved before Feb 2027","Resolved after Feb 2027"),"CLIENT INPUT REQUIRED")))</f>
        <v>No specific plan</v>
      </c>
    </row>
    <row r="148" spans="1:63" ht="27" customHeight="1" x14ac:dyDescent="0.25">
      <c r="A148" s="38">
        <v>145</v>
      </c>
      <c r="B148" s="38" t="s">
        <v>487</v>
      </c>
      <c r="C148" s="38" t="s">
        <v>490</v>
      </c>
      <c r="D148" s="38">
        <v>24.520009999999999</v>
      </c>
      <c r="E148" s="38">
        <v>55.762967000000003</v>
      </c>
      <c r="F148" s="38" t="s">
        <v>13</v>
      </c>
      <c r="G148" s="38" t="s">
        <v>166</v>
      </c>
      <c r="H148" s="38"/>
      <c r="I148" s="38" t="s">
        <v>170</v>
      </c>
      <c r="J148" s="38" t="s">
        <v>23</v>
      </c>
      <c r="K148" s="61" t="s">
        <v>492</v>
      </c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7" t="s">
        <v>170</v>
      </c>
      <c r="AN148" s="49" t="s">
        <v>586</v>
      </c>
      <c r="AO148" s="37" t="s">
        <v>586</v>
      </c>
      <c r="AP148" s="50" t="s">
        <v>577</v>
      </c>
      <c r="AQ148" s="37" t="s">
        <v>167</v>
      </c>
      <c r="AR148" s="37" t="s">
        <v>596</v>
      </c>
      <c r="AS148" s="52" t="s">
        <v>582</v>
      </c>
      <c r="AT148" s="51" t="s">
        <v>583</v>
      </c>
      <c r="AU148" s="52" t="s">
        <v>587</v>
      </c>
      <c r="AV148" s="51" t="s">
        <v>588</v>
      </c>
      <c r="AW148" s="37" t="s">
        <v>597</v>
      </c>
      <c r="AX148" s="37" t="s">
        <v>597</v>
      </c>
      <c r="AY148" s="53">
        <v>46327</v>
      </c>
      <c r="AZ148" s="53">
        <v>46722</v>
      </c>
      <c r="BA148" s="37" t="s">
        <v>600</v>
      </c>
      <c r="BB148" s="37" t="s">
        <v>170</v>
      </c>
      <c r="BC148" s="37" t="s">
        <v>596</v>
      </c>
      <c r="BD148" s="37" t="s">
        <v>596</v>
      </c>
      <c r="BE148" s="37" t="s">
        <v>598</v>
      </c>
      <c r="BF148" s="37" t="s">
        <v>599</v>
      </c>
      <c r="BG148" s="39" t="b">
        <f t="shared" si="8"/>
        <v>1</v>
      </c>
      <c r="BH148" s="39" t="str">
        <f t="shared" si="9"/>
        <v>Inadequate Design Capacity</v>
      </c>
      <c r="BI148" s="39" t="b">
        <f t="shared" si="10"/>
        <v>0</v>
      </c>
      <c r="BJ148">
        <f t="shared" si="11"/>
        <v>46722</v>
      </c>
      <c r="BK148" s="39" t="str">
        <f>IF(A148="","",IF(BI148&lt;&gt;TRUE(),"No specific plan",IF(ISNUMBER(BJ148),IF(BJ148&lt;'Exec Summary'!$C$4,"Resolved before Feb 2027","Resolved after Feb 2027"),"CLIENT INPUT REQUIRED")))</f>
        <v>No specific plan</v>
      </c>
    </row>
    <row r="149" spans="1:63" ht="27" customHeight="1" x14ac:dyDescent="0.25">
      <c r="A149" s="38">
        <v>146</v>
      </c>
      <c r="B149" s="38" t="s">
        <v>493</v>
      </c>
      <c r="C149" s="38" t="s">
        <v>494</v>
      </c>
      <c r="D149" s="38">
        <v>24.464632999999999</v>
      </c>
      <c r="E149" s="38">
        <v>55.635607999999998</v>
      </c>
      <c r="F149" s="38" t="s">
        <v>13</v>
      </c>
      <c r="G149" s="38" t="s">
        <v>166</v>
      </c>
      <c r="H149" s="38"/>
      <c r="I149" s="38" t="s">
        <v>170</v>
      </c>
      <c r="J149" s="38" t="s">
        <v>23</v>
      </c>
      <c r="K149" s="61" t="s">
        <v>495</v>
      </c>
      <c r="L149" s="38"/>
      <c r="M149" s="38"/>
      <c r="N149" s="38"/>
      <c r="O149" s="38"/>
      <c r="P149" s="38">
        <v>0</v>
      </c>
      <c r="Q149" s="38"/>
      <c r="R149" s="38"/>
      <c r="S149" s="38"/>
      <c r="T149" s="38"/>
      <c r="U149" s="38"/>
      <c r="V149" s="38"/>
      <c r="W149" s="38"/>
      <c r="X149" s="38"/>
      <c r="Y149" s="38"/>
      <c r="Z149" s="38">
        <v>0</v>
      </c>
      <c r="AA149" s="38">
        <v>2</v>
      </c>
      <c r="AB149" s="38">
        <v>10000</v>
      </c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7" t="s">
        <v>170</v>
      </c>
      <c r="AN149" s="49" t="s">
        <v>586</v>
      </c>
      <c r="AO149" s="37" t="s">
        <v>586</v>
      </c>
      <c r="AP149" s="50" t="s">
        <v>577</v>
      </c>
      <c r="AQ149" s="37" t="s">
        <v>167</v>
      </c>
      <c r="AR149" s="37" t="s">
        <v>596</v>
      </c>
      <c r="AS149" s="52" t="s">
        <v>582</v>
      </c>
      <c r="AT149" s="51" t="s">
        <v>583</v>
      </c>
      <c r="AU149" s="52" t="s">
        <v>587</v>
      </c>
      <c r="AV149" s="51" t="s">
        <v>588</v>
      </c>
      <c r="AW149" s="37" t="s">
        <v>597</v>
      </c>
      <c r="AX149" s="37" t="s">
        <v>597</v>
      </c>
      <c r="AY149" s="53">
        <v>46327</v>
      </c>
      <c r="AZ149" s="53">
        <v>46722</v>
      </c>
      <c r="BA149" s="37" t="s">
        <v>600</v>
      </c>
      <c r="BB149" s="37" t="s">
        <v>170</v>
      </c>
      <c r="BC149" s="37" t="s">
        <v>596</v>
      </c>
      <c r="BD149" s="37" t="s">
        <v>596</v>
      </c>
      <c r="BE149" s="37" t="s">
        <v>598</v>
      </c>
      <c r="BF149" s="37" t="s">
        <v>599</v>
      </c>
      <c r="BG149" s="39" t="b">
        <f t="shared" si="8"/>
        <v>1</v>
      </c>
      <c r="BH149" s="39" t="str">
        <f t="shared" si="9"/>
        <v>Inadequate Design Capacity</v>
      </c>
      <c r="BI149" s="39" t="b">
        <f t="shared" si="10"/>
        <v>0</v>
      </c>
      <c r="BJ149">
        <f t="shared" si="11"/>
        <v>46722</v>
      </c>
      <c r="BK149" s="39" t="str">
        <f>IF(A149="","",IF(BI149&lt;&gt;TRUE(),"No specific plan",IF(ISNUMBER(BJ149),IF(BJ149&lt;'Exec Summary'!$C$4,"Resolved before Feb 2027","Resolved after Feb 2027"),"CLIENT INPUT REQUIRED")))</f>
        <v>No specific plan</v>
      </c>
    </row>
    <row r="150" spans="1:63" ht="27" customHeight="1" x14ac:dyDescent="0.25">
      <c r="A150" s="38">
        <v>147</v>
      </c>
      <c r="B150" s="38" t="s">
        <v>493</v>
      </c>
      <c r="C150" s="38" t="s">
        <v>496</v>
      </c>
      <c r="D150" s="38">
        <v>24.511187</v>
      </c>
      <c r="E150" s="38">
        <v>55.566285000000001</v>
      </c>
      <c r="F150" s="38" t="s">
        <v>13</v>
      </c>
      <c r="G150" s="38" t="s">
        <v>360</v>
      </c>
      <c r="H150" s="38"/>
      <c r="I150" s="38" t="s">
        <v>170</v>
      </c>
      <c r="J150" s="38" t="s">
        <v>23</v>
      </c>
      <c r="K150" s="61" t="s">
        <v>497</v>
      </c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7" t="s">
        <v>170</v>
      </c>
      <c r="AN150" s="49" t="s">
        <v>586</v>
      </c>
      <c r="AO150" s="37" t="s">
        <v>586</v>
      </c>
      <c r="AP150" s="50" t="s">
        <v>577</v>
      </c>
      <c r="AQ150" s="37" t="s">
        <v>167</v>
      </c>
      <c r="AR150" s="37" t="s">
        <v>596</v>
      </c>
      <c r="AS150" s="52" t="s">
        <v>582</v>
      </c>
      <c r="AT150" s="51" t="s">
        <v>583</v>
      </c>
      <c r="AU150" s="52" t="s">
        <v>587</v>
      </c>
      <c r="AV150" s="51" t="s">
        <v>588</v>
      </c>
      <c r="AW150" s="37" t="s">
        <v>597</v>
      </c>
      <c r="AX150" s="37" t="s">
        <v>597</v>
      </c>
      <c r="AY150" s="53">
        <v>46327</v>
      </c>
      <c r="AZ150" s="53">
        <v>46722</v>
      </c>
      <c r="BA150" s="37" t="s">
        <v>600</v>
      </c>
      <c r="BB150" s="37" t="s">
        <v>170</v>
      </c>
      <c r="BC150" s="37" t="s">
        <v>596</v>
      </c>
      <c r="BD150" s="37" t="s">
        <v>596</v>
      </c>
      <c r="BE150" s="37" t="s">
        <v>598</v>
      </c>
      <c r="BF150" s="37" t="s">
        <v>599</v>
      </c>
      <c r="BG150" s="39" t="b">
        <f t="shared" si="8"/>
        <v>1</v>
      </c>
      <c r="BH150" s="39" t="str">
        <f t="shared" si="9"/>
        <v>Inadequate Design Capacity</v>
      </c>
      <c r="BI150" s="39" t="b">
        <f t="shared" si="10"/>
        <v>0</v>
      </c>
      <c r="BJ150">
        <f t="shared" si="11"/>
        <v>46722</v>
      </c>
      <c r="BK150" s="39" t="str">
        <f>IF(A150="","",IF(BI150&lt;&gt;TRUE(),"No specific plan",IF(ISNUMBER(BJ150),IF(BJ150&lt;'Exec Summary'!$C$4,"Resolved before Feb 2027","Resolved after Feb 2027"),"CLIENT INPUT REQUIRED")))</f>
        <v>No specific plan</v>
      </c>
    </row>
    <row r="151" spans="1:63" ht="27" customHeight="1" x14ac:dyDescent="0.25">
      <c r="A151" s="38">
        <v>148</v>
      </c>
      <c r="B151" s="38" t="s">
        <v>493</v>
      </c>
      <c r="C151" s="38" t="s">
        <v>498</v>
      </c>
      <c r="D151" s="38">
        <v>24.477848999999999</v>
      </c>
      <c r="E151" s="38">
        <v>55.61627</v>
      </c>
      <c r="F151" s="38" t="s">
        <v>12</v>
      </c>
      <c r="G151" s="38" t="s">
        <v>166</v>
      </c>
      <c r="H151" s="38"/>
      <c r="I151" s="38" t="s">
        <v>170</v>
      </c>
      <c r="J151" s="38" t="s">
        <v>23</v>
      </c>
      <c r="K151" s="61" t="s">
        <v>499</v>
      </c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7" t="s">
        <v>170</v>
      </c>
      <c r="AN151" s="49" t="s">
        <v>586</v>
      </c>
      <c r="AO151" s="37" t="s">
        <v>586</v>
      </c>
      <c r="AP151" s="50" t="s">
        <v>577</v>
      </c>
      <c r="AQ151" s="37" t="s">
        <v>167</v>
      </c>
      <c r="AR151" s="37" t="s">
        <v>596</v>
      </c>
      <c r="AS151" s="52" t="s">
        <v>582</v>
      </c>
      <c r="AT151" s="51" t="s">
        <v>583</v>
      </c>
      <c r="AU151" s="52" t="s">
        <v>587</v>
      </c>
      <c r="AV151" s="51" t="s">
        <v>588</v>
      </c>
      <c r="AW151" s="37" t="s">
        <v>597</v>
      </c>
      <c r="AX151" s="37" t="s">
        <v>597</v>
      </c>
      <c r="AY151" s="53">
        <v>46327</v>
      </c>
      <c r="AZ151" s="53">
        <v>46722</v>
      </c>
      <c r="BA151" s="37" t="s">
        <v>600</v>
      </c>
      <c r="BB151" s="37" t="s">
        <v>170</v>
      </c>
      <c r="BC151" s="37" t="s">
        <v>596</v>
      </c>
      <c r="BD151" s="37" t="s">
        <v>596</v>
      </c>
      <c r="BE151" s="37" t="s">
        <v>598</v>
      </c>
      <c r="BF151" s="37" t="s">
        <v>599</v>
      </c>
      <c r="BG151" s="39" t="b">
        <f t="shared" si="8"/>
        <v>1</v>
      </c>
      <c r="BH151" s="39" t="str">
        <f t="shared" si="9"/>
        <v>Inadequate Design Capacity</v>
      </c>
      <c r="BI151" s="39" t="b">
        <f t="shared" si="10"/>
        <v>0</v>
      </c>
      <c r="BJ151">
        <f t="shared" si="11"/>
        <v>46722</v>
      </c>
      <c r="BK151" s="39" t="str">
        <f>IF(A151="","",IF(BI151&lt;&gt;TRUE(),"No specific plan",IF(ISNUMBER(BJ151),IF(BJ151&lt;'Exec Summary'!$C$4,"Resolved before Feb 2027","Resolved after Feb 2027"),"CLIENT INPUT REQUIRED")))</f>
        <v>No specific plan</v>
      </c>
    </row>
    <row r="152" spans="1:63" ht="27" customHeight="1" x14ac:dyDescent="0.25">
      <c r="A152" s="38">
        <v>149</v>
      </c>
      <c r="B152" s="38" t="s">
        <v>500</v>
      </c>
      <c r="C152" s="38" t="s">
        <v>501</v>
      </c>
      <c r="D152" s="38">
        <v>24.13116475979</v>
      </c>
      <c r="E152" s="38">
        <v>55.534805983574302</v>
      </c>
      <c r="F152" s="38" t="s">
        <v>12</v>
      </c>
      <c r="G152" s="38" t="s">
        <v>166</v>
      </c>
      <c r="H152" s="38"/>
      <c r="I152" s="38" t="s">
        <v>170</v>
      </c>
      <c r="J152" s="38" t="s">
        <v>23</v>
      </c>
      <c r="K152" s="61" t="s">
        <v>502</v>
      </c>
      <c r="L152" s="38"/>
      <c r="M152" s="38"/>
      <c r="N152" s="38"/>
      <c r="O152" s="38"/>
      <c r="P152" s="38">
        <v>2</v>
      </c>
      <c r="Q152" s="38"/>
      <c r="R152" s="38"/>
      <c r="S152" s="38"/>
      <c r="T152" s="38"/>
      <c r="U152" s="38"/>
      <c r="V152" s="38"/>
      <c r="W152" s="38"/>
      <c r="X152" s="38"/>
      <c r="Y152" s="38"/>
      <c r="Z152" s="38">
        <v>10000</v>
      </c>
      <c r="AA152" s="38">
        <v>2</v>
      </c>
      <c r="AB152" s="38">
        <v>10000</v>
      </c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7" t="s">
        <v>167</v>
      </c>
      <c r="AN152" s="49" t="s">
        <v>576</v>
      </c>
      <c r="AO152" s="37" t="s">
        <v>576</v>
      </c>
      <c r="AP152" s="50" t="s">
        <v>577</v>
      </c>
      <c r="AQ152" s="37" t="s">
        <v>167</v>
      </c>
      <c r="AR152" s="37" t="s">
        <v>596</v>
      </c>
      <c r="AS152" s="52" t="s">
        <v>582</v>
      </c>
      <c r="AT152" s="51" t="s">
        <v>583</v>
      </c>
      <c r="AU152" s="51" t="s">
        <v>576</v>
      </c>
      <c r="AV152" s="51" t="s">
        <v>576</v>
      </c>
      <c r="AW152" s="37" t="s">
        <v>597</v>
      </c>
      <c r="AX152" s="37" t="s">
        <v>597</v>
      </c>
      <c r="AY152" s="50" t="s">
        <v>580</v>
      </c>
      <c r="AZ152" s="50" t="s">
        <v>580</v>
      </c>
      <c r="BA152" s="37" t="s">
        <v>580</v>
      </c>
      <c r="BB152" s="37" t="s">
        <v>167</v>
      </c>
      <c r="BC152" s="37" t="s">
        <v>596</v>
      </c>
      <c r="BD152" s="37" t="s">
        <v>596</v>
      </c>
      <c r="BE152" s="37" t="s">
        <v>598</v>
      </c>
      <c r="BF152" s="37" t="s">
        <v>599</v>
      </c>
      <c r="BG152" s="39" t="b">
        <f t="shared" si="8"/>
        <v>1</v>
      </c>
      <c r="BH152" s="39" t="str">
        <f t="shared" si="9"/>
        <v>Inadequate Design Capacity</v>
      </c>
      <c r="BI152" s="39" t="b">
        <f t="shared" si="10"/>
        <v>0</v>
      </c>
      <c r="BJ152" t="str">
        <f t="shared" si="11"/>
        <v>CLIENT INPUT REQUIRED</v>
      </c>
      <c r="BK152" s="39" t="str">
        <f>IF(A152="","",IF(BI152&lt;&gt;TRUE(),"No specific plan",IF(ISNUMBER(BJ152),IF(BJ152&lt;'Exec Summary'!$C$4,"Resolved before Feb 2027","Resolved after Feb 2027"),"CLIENT INPUT REQUIRED")))</f>
        <v>No specific plan</v>
      </c>
    </row>
    <row r="153" spans="1:63" ht="27" customHeight="1" x14ac:dyDescent="0.25">
      <c r="A153" s="38">
        <v>150</v>
      </c>
      <c r="B153" s="38" t="s">
        <v>500</v>
      </c>
      <c r="C153" s="38" t="s">
        <v>503</v>
      </c>
      <c r="D153" s="38">
        <v>24.1268574649093</v>
      </c>
      <c r="E153" s="38">
        <v>55.558292915342903</v>
      </c>
      <c r="F153" s="38" t="s">
        <v>12</v>
      </c>
      <c r="G153" s="38" t="s">
        <v>166</v>
      </c>
      <c r="H153" s="38"/>
      <c r="I153" s="38" t="s">
        <v>170</v>
      </c>
      <c r="J153" s="38" t="s">
        <v>23</v>
      </c>
      <c r="K153" s="61" t="s">
        <v>504</v>
      </c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7" t="s">
        <v>167</v>
      </c>
      <c r="AN153" s="49" t="s">
        <v>576</v>
      </c>
      <c r="AO153" s="37" t="s">
        <v>576</v>
      </c>
      <c r="AP153" s="50" t="s">
        <v>577</v>
      </c>
      <c r="AQ153" s="37" t="s">
        <v>167</v>
      </c>
      <c r="AR153" s="37" t="s">
        <v>596</v>
      </c>
      <c r="AS153" s="52" t="s">
        <v>582</v>
      </c>
      <c r="AT153" s="51" t="s">
        <v>583</v>
      </c>
      <c r="AU153" s="51" t="s">
        <v>576</v>
      </c>
      <c r="AV153" s="51" t="s">
        <v>576</v>
      </c>
      <c r="AW153" s="37" t="s">
        <v>597</v>
      </c>
      <c r="AX153" s="37" t="s">
        <v>597</v>
      </c>
      <c r="AY153" s="50" t="s">
        <v>580</v>
      </c>
      <c r="AZ153" s="50" t="s">
        <v>580</v>
      </c>
      <c r="BA153" s="37" t="s">
        <v>580</v>
      </c>
      <c r="BB153" s="37" t="s">
        <v>167</v>
      </c>
      <c r="BC153" s="37" t="s">
        <v>596</v>
      </c>
      <c r="BD153" s="37" t="s">
        <v>596</v>
      </c>
      <c r="BE153" s="37" t="s">
        <v>598</v>
      </c>
      <c r="BF153" s="37" t="s">
        <v>599</v>
      </c>
      <c r="BG153" s="39" t="b">
        <f t="shared" si="8"/>
        <v>1</v>
      </c>
      <c r="BH153" s="39" t="str">
        <f t="shared" si="9"/>
        <v>Inadequate Design Capacity</v>
      </c>
      <c r="BI153" s="39" t="b">
        <f t="shared" si="10"/>
        <v>0</v>
      </c>
      <c r="BJ153" t="str">
        <f t="shared" si="11"/>
        <v>CLIENT INPUT REQUIRED</v>
      </c>
      <c r="BK153" s="39" t="str">
        <f>IF(A153="","",IF(BI153&lt;&gt;TRUE(),"No specific plan",IF(ISNUMBER(BJ153),IF(BJ153&lt;'Exec Summary'!$C$4,"Resolved before Feb 2027","Resolved after Feb 2027"),"CLIENT INPUT REQUIRED")))</f>
        <v>No specific plan</v>
      </c>
    </row>
    <row r="154" spans="1:63" ht="27" customHeight="1" x14ac:dyDescent="0.25">
      <c r="A154" s="38">
        <v>151</v>
      </c>
      <c r="B154" s="38" t="s">
        <v>500</v>
      </c>
      <c r="C154" s="38" t="s">
        <v>505</v>
      </c>
      <c r="D154" s="38">
        <v>24.1401958115942</v>
      </c>
      <c r="E154" s="38">
        <v>55.485904015342904</v>
      </c>
      <c r="F154" s="38" t="s">
        <v>12</v>
      </c>
      <c r="G154" s="38" t="s">
        <v>166</v>
      </c>
      <c r="H154" s="38"/>
      <c r="I154" s="38" t="s">
        <v>170</v>
      </c>
      <c r="J154" s="38" t="s">
        <v>23</v>
      </c>
      <c r="K154" s="61" t="s">
        <v>506</v>
      </c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7" t="s">
        <v>167</v>
      </c>
      <c r="AN154" s="49" t="s">
        <v>576</v>
      </c>
      <c r="AO154" s="37" t="s">
        <v>576</v>
      </c>
      <c r="AP154" s="50" t="s">
        <v>577</v>
      </c>
      <c r="AQ154" s="37" t="s">
        <v>167</v>
      </c>
      <c r="AR154" s="37" t="s">
        <v>596</v>
      </c>
      <c r="AS154" s="52" t="s">
        <v>582</v>
      </c>
      <c r="AT154" s="51" t="s">
        <v>583</v>
      </c>
      <c r="AU154" s="51" t="s">
        <v>576</v>
      </c>
      <c r="AV154" s="51" t="s">
        <v>576</v>
      </c>
      <c r="AW154" s="37" t="s">
        <v>597</v>
      </c>
      <c r="AX154" s="37" t="s">
        <v>597</v>
      </c>
      <c r="AY154" s="50" t="s">
        <v>580</v>
      </c>
      <c r="AZ154" s="50" t="s">
        <v>580</v>
      </c>
      <c r="BA154" s="37" t="s">
        <v>580</v>
      </c>
      <c r="BB154" s="37" t="s">
        <v>167</v>
      </c>
      <c r="BC154" s="37" t="s">
        <v>596</v>
      </c>
      <c r="BD154" s="37" t="s">
        <v>596</v>
      </c>
      <c r="BE154" s="37" t="s">
        <v>598</v>
      </c>
      <c r="BF154" s="37" t="s">
        <v>599</v>
      </c>
      <c r="BG154" s="39" t="b">
        <f t="shared" si="8"/>
        <v>1</v>
      </c>
      <c r="BH154" s="39" t="str">
        <f t="shared" si="9"/>
        <v>Inadequate Design Capacity</v>
      </c>
      <c r="BI154" s="39" t="b">
        <f t="shared" si="10"/>
        <v>0</v>
      </c>
      <c r="BJ154" t="str">
        <f t="shared" si="11"/>
        <v>CLIENT INPUT REQUIRED</v>
      </c>
      <c r="BK154" s="39" t="str">
        <f>IF(A154="","",IF(BI154&lt;&gt;TRUE(),"No specific plan",IF(ISNUMBER(BJ154),IF(BJ154&lt;'Exec Summary'!$C$4,"Resolved before Feb 2027","Resolved after Feb 2027"),"CLIENT INPUT REQUIRED")))</f>
        <v>No specific plan</v>
      </c>
    </row>
    <row r="155" spans="1:63" ht="27" customHeight="1" x14ac:dyDescent="0.25">
      <c r="A155" s="38">
        <v>152</v>
      </c>
      <c r="B155" s="38" t="s">
        <v>500</v>
      </c>
      <c r="C155" s="38" t="s">
        <v>507</v>
      </c>
      <c r="D155" s="38">
        <v>24.140658220334501</v>
      </c>
      <c r="E155" s="38">
        <v>55.494440013492699</v>
      </c>
      <c r="F155" s="38" t="s">
        <v>12</v>
      </c>
      <c r="G155" s="38" t="s">
        <v>166</v>
      </c>
      <c r="H155" s="38"/>
      <c r="I155" s="38" t="s">
        <v>170</v>
      </c>
      <c r="J155" s="38" t="s">
        <v>23</v>
      </c>
      <c r="K155" s="61" t="s">
        <v>508</v>
      </c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7" t="s">
        <v>167</v>
      </c>
      <c r="AN155" s="49" t="s">
        <v>576</v>
      </c>
      <c r="AO155" s="37" t="s">
        <v>576</v>
      </c>
      <c r="AP155" s="50" t="s">
        <v>577</v>
      </c>
      <c r="AQ155" s="37" t="s">
        <v>167</v>
      </c>
      <c r="AR155" s="37" t="s">
        <v>596</v>
      </c>
      <c r="AS155" s="52" t="s">
        <v>582</v>
      </c>
      <c r="AT155" s="51" t="s">
        <v>583</v>
      </c>
      <c r="AU155" s="51" t="s">
        <v>576</v>
      </c>
      <c r="AV155" s="51" t="s">
        <v>576</v>
      </c>
      <c r="AW155" s="37" t="s">
        <v>597</v>
      </c>
      <c r="AX155" s="37" t="s">
        <v>597</v>
      </c>
      <c r="AY155" s="50" t="s">
        <v>580</v>
      </c>
      <c r="AZ155" s="50" t="s">
        <v>580</v>
      </c>
      <c r="BA155" s="37" t="s">
        <v>580</v>
      </c>
      <c r="BB155" s="37" t="s">
        <v>167</v>
      </c>
      <c r="BC155" s="37" t="s">
        <v>596</v>
      </c>
      <c r="BD155" s="37" t="s">
        <v>596</v>
      </c>
      <c r="BE155" s="37" t="s">
        <v>598</v>
      </c>
      <c r="BF155" s="37" t="s">
        <v>599</v>
      </c>
      <c r="BG155" s="39" t="b">
        <f t="shared" si="8"/>
        <v>1</v>
      </c>
      <c r="BH155" s="39" t="str">
        <f t="shared" si="9"/>
        <v>Inadequate Design Capacity</v>
      </c>
      <c r="BI155" s="39" t="b">
        <f t="shared" si="10"/>
        <v>0</v>
      </c>
      <c r="BJ155" t="str">
        <f t="shared" si="11"/>
        <v>CLIENT INPUT REQUIRED</v>
      </c>
      <c r="BK155" s="39" t="str">
        <f>IF(A155="","",IF(BI155&lt;&gt;TRUE(),"No specific plan",IF(ISNUMBER(BJ155),IF(BJ155&lt;'Exec Summary'!$C$4,"Resolved before Feb 2027","Resolved after Feb 2027"),"CLIENT INPUT REQUIRED")))</f>
        <v>No specific plan</v>
      </c>
    </row>
    <row r="156" spans="1:63" ht="27" customHeight="1" x14ac:dyDescent="0.25">
      <c r="A156" s="38">
        <v>153</v>
      </c>
      <c r="B156" s="38" t="s">
        <v>509</v>
      </c>
      <c r="C156" s="38" t="s">
        <v>510</v>
      </c>
      <c r="D156" s="38">
        <v>24.276831999999999</v>
      </c>
      <c r="E156" s="38">
        <v>55.746749999999999</v>
      </c>
      <c r="F156" s="38" t="s">
        <v>13</v>
      </c>
      <c r="G156" s="38" t="s">
        <v>166</v>
      </c>
      <c r="H156" s="38"/>
      <c r="I156" s="38" t="s">
        <v>167</v>
      </c>
      <c r="J156" s="38" t="s">
        <v>24</v>
      </c>
      <c r="K156" s="61" t="s">
        <v>511</v>
      </c>
      <c r="L156" s="38"/>
      <c r="M156" s="38"/>
      <c r="N156" s="38"/>
      <c r="O156" s="38"/>
      <c r="P156" s="38">
        <v>1</v>
      </c>
      <c r="Q156" s="38"/>
      <c r="R156" s="38"/>
      <c r="S156" s="38"/>
      <c r="T156" s="38"/>
      <c r="U156" s="38"/>
      <c r="V156" s="38"/>
      <c r="W156" s="38"/>
      <c r="X156" s="38"/>
      <c r="Y156" s="38"/>
      <c r="Z156" s="38">
        <v>5000</v>
      </c>
      <c r="AA156" s="38">
        <v>1</v>
      </c>
      <c r="AB156" s="38">
        <v>5000</v>
      </c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7" t="s">
        <v>167</v>
      </c>
      <c r="AN156" s="49" t="s">
        <v>576</v>
      </c>
      <c r="AO156" s="37" t="s">
        <v>576</v>
      </c>
      <c r="AP156" s="50" t="s">
        <v>577</v>
      </c>
      <c r="AQ156" s="37" t="s">
        <v>167</v>
      </c>
      <c r="AR156" s="37" t="s">
        <v>596</v>
      </c>
      <c r="AS156" s="51" t="s">
        <v>578</v>
      </c>
      <c r="AT156" s="51" t="s">
        <v>579</v>
      </c>
      <c r="AU156" s="51" t="s">
        <v>576</v>
      </c>
      <c r="AV156" s="51" t="s">
        <v>576</v>
      </c>
      <c r="AW156" s="37" t="s">
        <v>597</v>
      </c>
      <c r="AX156" s="37" t="s">
        <v>597</v>
      </c>
      <c r="AY156" s="50" t="s">
        <v>580</v>
      </c>
      <c r="AZ156" s="50" t="s">
        <v>580</v>
      </c>
      <c r="BA156" s="37" t="s">
        <v>580</v>
      </c>
      <c r="BB156" s="37" t="s">
        <v>167</v>
      </c>
      <c r="BC156" s="37" t="s">
        <v>596</v>
      </c>
      <c r="BD156" s="37" t="s">
        <v>596</v>
      </c>
      <c r="BE156" s="37" t="s">
        <v>598</v>
      </c>
      <c r="BF156" s="37" t="s">
        <v>599</v>
      </c>
      <c r="BG156" s="39" t="b">
        <f t="shared" si="8"/>
        <v>1</v>
      </c>
      <c r="BH156" s="39" t="str">
        <f t="shared" si="9"/>
        <v>Absence of Drainage Network</v>
      </c>
      <c r="BI156" s="39" t="b">
        <f t="shared" si="10"/>
        <v>0</v>
      </c>
      <c r="BJ156" t="str">
        <f t="shared" si="11"/>
        <v>CLIENT INPUT REQUIRED</v>
      </c>
      <c r="BK156" s="39" t="str">
        <f>IF(A156="","",IF(BI156&lt;&gt;TRUE(),"No specific plan",IF(ISNUMBER(BJ156),IF(BJ156&lt;'Exec Summary'!$C$4,"Resolved before Feb 2027","Resolved after Feb 2027"),"CLIENT INPUT REQUIRED")))</f>
        <v>No specific plan</v>
      </c>
    </row>
    <row r="157" spans="1:63" ht="27" customHeight="1" x14ac:dyDescent="0.25">
      <c r="A157" s="38">
        <v>154</v>
      </c>
      <c r="B157" s="38" t="s">
        <v>509</v>
      </c>
      <c r="C157" s="38" t="s">
        <v>512</v>
      </c>
      <c r="D157" s="38">
        <v>24.2735058300802</v>
      </c>
      <c r="E157" s="38">
        <v>55.748392711642502</v>
      </c>
      <c r="F157" s="38" t="s">
        <v>13</v>
      </c>
      <c r="G157" s="38" t="s">
        <v>166</v>
      </c>
      <c r="H157" s="38"/>
      <c r="I157" s="38" t="s">
        <v>170</v>
      </c>
      <c r="J157" s="38" t="s">
        <v>23</v>
      </c>
      <c r="K157" s="61" t="s">
        <v>513</v>
      </c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7" t="s">
        <v>167</v>
      </c>
      <c r="AN157" s="49" t="s">
        <v>576</v>
      </c>
      <c r="AO157" s="37" t="s">
        <v>576</v>
      </c>
      <c r="AP157" s="50" t="s">
        <v>577</v>
      </c>
      <c r="AQ157" s="37" t="s">
        <v>167</v>
      </c>
      <c r="AR157" s="37" t="s">
        <v>596</v>
      </c>
      <c r="AS157" s="52" t="s">
        <v>582</v>
      </c>
      <c r="AT157" s="51" t="s">
        <v>583</v>
      </c>
      <c r="AU157" s="51" t="s">
        <v>576</v>
      </c>
      <c r="AV157" s="51" t="s">
        <v>576</v>
      </c>
      <c r="AW157" s="37" t="s">
        <v>597</v>
      </c>
      <c r="AX157" s="37" t="s">
        <v>597</v>
      </c>
      <c r="AY157" s="50" t="s">
        <v>580</v>
      </c>
      <c r="AZ157" s="50" t="s">
        <v>580</v>
      </c>
      <c r="BA157" s="37" t="s">
        <v>580</v>
      </c>
      <c r="BB157" s="37" t="s">
        <v>167</v>
      </c>
      <c r="BC157" s="37" t="s">
        <v>596</v>
      </c>
      <c r="BD157" s="37" t="s">
        <v>596</v>
      </c>
      <c r="BE157" s="37" t="s">
        <v>598</v>
      </c>
      <c r="BF157" s="37" t="s">
        <v>599</v>
      </c>
      <c r="BG157" s="39" t="b">
        <f t="shared" si="8"/>
        <v>1</v>
      </c>
      <c r="BH157" s="39" t="str">
        <f t="shared" si="9"/>
        <v>Inadequate Design Capacity</v>
      </c>
      <c r="BI157" s="39" t="b">
        <f t="shared" si="10"/>
        <v>0</v>
      </c>
      <c r="BJ157" t="str">
        <f t="shared" si="11"/>
        <v>CLIENT INPUT REQUIRED</v>
      </c>
      <c r="BK157" s="39" t="str">
        <f>IF(A157="","",IF(BI157&lt;&gt;TRUE(),"No specific plan",IF(ISNUMBER(BJ157),IF(BJ157&lt;'Exec Summary'!$C$4,"Resolved before Feb 2027","Resolved after Feb 2027"),"CLIENT INPUT REQUIRED")))</f>
        <v>No specific plan</v>
      </c>
    </row>
    <row r="158" spans="1:63" ht="27" customHeight="1" x14ac:dyDescent="0.25">
      <c r="A158" s="38">
        <v>155</v>
      </c>
      <c r="B158" s="38" t="s">
        <v>509</v>
      </c>
      <c r="C158" s="38" t="s">
        <v>514</v>
      </c>
      <c r="D158" s="38">
        <v>24.274550000000001</v>
      </c>
      <c r="E158" s="38">
        <v>55.719455000000004</v>
      </c>
      <c r="F158" s="38" t="s">
        <v>13</v>
      </c>
      <c r="G158" s="38" t="s">
        <v>166</v>
      </c>
      <c r="H158" s="38"/>
      <c r="I158" s="38" t="s">
        <v>170</v>
      </c>
      <c r="J158" s="38" t="s">
        <v>23</v>
      </c>
      <c r="K158" s="61" t="s">
        <v>515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7" t="s">
        <v>170</v>
      </c>
      <c r="AN158" s="49" t="s">
        <v>589</v>
      </c>
      <c r="AO158" s="37" t="s">
        <v>589</v>
      </c>
      <c r="AP158" s="50" t="s">
        <v>577</v>
      </c>
      <c r="AQ158" s="37" t="s">
        <v>167</v>
      </c>
      <c r="AR158" s="37" t="s">
        <v>596</v>
      </c>
      <c r="AS158" s="52" t="s">
        <v>582</v>
      </c>
      <c r="AT158" s="51" t="s">
        <v>583</v>
      </c>
      <c r="AU158" s="52" t="s">
        <v>587</v>
      </c>
      <c r="AV158" s="51" t="s">
        <v>588</v>
      </c>
      <c r="AW158" s="37" t="s">
        <v>597</v>
      </c>
      <c r="AX158" s="37" t="s">
        <v>597</v>
      </c>
      <c r="AY158" s="53">
        <v>46419</v>
      </c>
      <c r="AZ158" s="53">
        <v>46753</v>
      </c>
      <c r="BA158" s="37" t="s">
        <v>600</v>
      </c>
      <c r="BB158" s="37" t="s">
        <v>170</v>
      </c>
      <c r="BC158" s="37" t="s">
        <v>596</v>
      </c>
      <c r="BD158" s="37" t="s">
        <v>596</v>
      </c>
      <c r="BE158" s="37" t="s">
        <v>598</v>
      </c>
      <c r="BF158" s="37" t="s">
        <v>599</v>
      </c>
      <c r="BG158" s="39" t="b">
        <f t="shared" si="8"/>
        <v>1</v>
      </c>
      <c r="BH158" s="39" t="str">
        <f t="shared" si="9"/>
        <v>Inadequate Design Capacity</v>
      </c>
      <c r="BI158" s="39" t="b">
        <f t="shared" si="10"/>
        <v>0</v>
      </c>
      <c r="BJ158">
        <f t="shared" si="11"/>
        <v>46753</v>
      </c>
      <c r="BK158" s="39" t="str">
        <f>IF(A158="","",IF(BI158&lt;&gt;TRUE(),"No specific plan",IF(ISNUMBER(BJ158),IF(BJ158&lt;'Exec Summary'!$C$4,"Resolved before Feb 2027","Resolved after Feb 2027"),"CLIENT INPUT REQUIRED")))</f>
        <v>No specific plan</v>
      </c>
    </row>
    <row r="159" spans="1:63" ht="27" customHeight="1" x14ac:dyDescent="0.25">
      <c r="A159" s="38">
        <v>156</v>
      </c>
      <c r="B159" s="38" t="s">
        <v>509</v>
      </c>
      <c r="C159" s="38" t="s">
        <v>514</v>
      </c>
      <c r="D159" s="38" t="s">
        <v>516</v>
      </c>
      <c r="E159" s="38" t="s">
        <v>517</v>
      </c>
      <c r="F159" s="38" t="s">
        <v>13</v>
      </c>
      <c r="G159" s="38" t="s">
        <v>166</v>
      </c>
      <c r="H159" s="38"/>
      <c r="I159" s="38" t="s">
        <v>170</v>
      </c>
      <c r="J159" s="38" t="s">
        <v>23</v>
      </c>
      <c r="K159" s="61" t="s">
        <v>515</v>
      </c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7" t="s">
        <v>170</v>
      </c>
      <c r="AN159" s="49" t="s">
        <v>581</v>
      </c>
      <c r="AO159" s="37" t="s">
        <v>581</v>
      </c>
      <c r="AP159" s="50" t="s">
        <v>577</v>
      </c>
      <c r="AQ159" s="37" t="s">
        <v>167</v>
      </c>
      <c r="AR159" s="37" t="s">
        <v>596</v>
      </c>
      <c r="AS159" s="52" t="s">
        <v>582</v>
      </c>
      <c r="AT159" s="51" t="s">
        <v>583</v>
      </c>
      <c r="AU159" s="52" t="s">
        <v>584</v>
      </c>
      <c r="AV159" s="51" t="s">
        <v>585</v>
      </c>
      <c r="AW159" s="37" t="s">
        <v>597</v>
      </c>
      <c r="AX159" s="37" t="s">
        <v>597</v>
      </c>
      <c r="AY159" s="53">
        <v>46388</v>
      </c>
      <c r="AZ159" s="53">
        <v>47088</v>
      </c>
      <c r="BA159" s="37" t="s">
        <v>600</v>
      </c>
      <c r="BB159" s="37" t="s">
        <v>170</v>
      </c>
      <c r="BC159" s="37" t="s">
        <v>596</v>
      </c>
      <c r="BD159" s="37" t="s">
        <v>596</v>
      </c>
      <c r="BE159" s="37" t="s">
        <v>598</v>
      </c>
      <c r="BF159" s="37" t="s">
        <v>599</v>
      </c>
      <c r="BG159" s="39" t="b">
        <f t="shared" si="8"/>
        <v>1</v>
      </c>
      <c r="BH159" s="39" t="str">
        <f t="shared" si="9"/>
        <v>Inadequate Design Capacity</v>
      </c>
      <c r="BI159" s="39" t="b">
        <f t="shared" si="10"/>
        <v>0</v>
      </c>
      <c r="BJ159">
        <f t="shared" si="11"/>
        <v>47088</v>
      </c>
      <c r="BK159" s="39" t="str">
        <f>IF(A159="","",IF(BI159&lt;&gt;TRUE(),"No specific plan",IF(ISNUMBER(BJ159),IF(BJ159&lt;'Exec Summary'!$C$4,"Resolved before Feb 2027","Resolved after Feb 2027"),"CLIENT INPUT REQUIRED")))</f>
        <v>No specific plan</v>
      </c>
    </row>
    <row r="160" spans="1:63" ht="27" customHeight="1" x14ac:dyDescent="0.25">
      <c r="A160" s="38">
        <v>157</v>
      </c>
      <c r="B160" s="38" t="s">
        <v>509</v>
      </c>
      <c r="C160" s="38" t="s">
        <v>518</v>
      </c>
      <c r="D160" s="38">
        <v>24.279734999999999</v>
      </c>
      <c r="E160" s="38">
        <v>55.731597999999998</v>
      </c>
      <c r="F160" s="38" t="s">
        <v>13</v>
      </c>
      <c r="G160" s="38" t="s">
        <v>166</v>
      </c>
      <c r="H160" s="38"/>
      <c r="I160" s="38" t="s">
        <v>170</v>
      </c>
      <c r="J160" s="38" t="s">
        <v>23</v>
      </c>
      <c r="K160" s="61" t="s">
        <v>519</v>
      </c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7" t="s">
        <v>170</v>
      </c>
      <c r="AN160" s="49" t="s">
        <v>581</v>
      </c>
      <c r="AO160" s="37" t="s">
        <v>581</v>
      </c>
      <c r="AP160" s="50" t="s">
        <v>577</v>
      </c>
      <c r="AQ160" s="37" t="s">
        <v>167</v>
      </c>
      <c r="AR160" s="37" t="s">
        <v>596</v>
      </c>
      <c r="AS160" s="52" t="s">
        <v>582</v>
      </c>
      <c r="AT160" s="51" t="s">
        <v>583</v>
      </c>
      <c r="AU160" s="52" t="s">
        <v>584</v>
      </c>
      <c r="AV160" s="51" t="s">
        <v>585</v>
      </c>
      <c r="AW160" s="37" t="s">
        <v>597</v>
      </c>
      <c r="AX160" s="37" t="s">
        <v>597</v>
      </c>
      <c r="AY160" s="53">
        <v>45231</v>
      </c>
      <c r="AZ160" s="53">
        <v>46082</v>
      </c>
      <c r="BA160" s="37" t="s">
        <v>609</v>
      </c>
      <c r="BB160" s="37" t="s">
        <v>170</v>
      </c>
      <c r="BC160" s="63">
        <v>45231</v>
      </c>
      <c r="BD160" s="63">
        <v>46082</v>
      </c>
      <c r="BE160" s="37" t="s">
        <v>602</v>
      </c>
      <c r="BF160" s="37" t="s">
        <v>610</v>
      </c>
      <c r="BG160" s="39" t="b">
        <f t="shared" si="8"/>
        <v>1</v>
      </c>
      <c r="BH160" s="39" t="str">
        <f t="shared" si="9"/>
        <v>Inadequate Design Capacity</v>
      </c>
      <c r="BI160" s="39" t="b">
        <f t="shared" si="10"/>
        <v>0</v>
      </c>
      <c r="BJ160">
        <f t="shared" si="11"/>
        <v>46082</v>
      </c>
      <c r="BK160" s="39" t="str">
        <f>IF(A160="","",IF(BI160&lt;&gt;TRUE(),"No specific plan",IF(ISNUMBER(BJ160),IF(BJ160&lt;'Exec Summary'!$C$4,"Resolved before Feb 2027","Resolved after Feb 2027"),"CLIENT INPUT REQUIRED")))</f>
        <v>No specific plan</v>
      </c>
    </row>
    <row r="161" spans="1:63" ht="27" customHeight="1" x14ac:dyDescent="0.25">
      <c r="A161" s="38">
        <v>158</v>
      </c>
      <c r="B161" s="38" t="s">
        <v>520</v>
      </c>
      <c r="C161" s="38" t="s">
        <v>521</v>
      </c>
      <c r="D161" s="38">
        <v>24.366175999999999</v>
      </c>
      <c r="E161" s="38">
        <v>55.729283000000002</v>
      </c>
      <c r="F161" s="38" t="s">
        <v>13</v>
      </c>
      <c r="G161" s="38" t="s">
        <v>166</v>
      </c>
      <c r="H161" s="38"/>
      <c r="I161" s="38" t="s">
        <v>170</v>
      </c>
      <c r="J161" s="38" t="s">
        <v>23</v>
      </c>
      <c r="K161" s="61" t="s">
        <v>522</v>
      </c>
      <c r="L161" s="38"/>
      <c r="M161" s="38"/>
      <c r="N161" s="38"/>
      <c r="O161" s="38"/>
      <c r="P161" s="38">
        <v>0</v>
      </c>
      <c r="Q161" s="38"/>
      <c r="R161" s="38"/>
      <c r="S161" s="38"/>
      <c r="T161" s="38"/>
      <c r="U161" s="38"/>
      <c r="V161" s="38"/>
      <c r="W161" s="38"/>
      <c r="X161" s="38"/>
      <c r="Y161" s="38"/>
      <c r="Z161" s="38">
        <v>0</v>
      </c>
      <c r="AA161" s="38">
        <v>12</v>
      </c>
      <c r="AB161" s="38">
        <v>60000</v>
      </c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7" t="s">
        <v>170</v>
      </c>
      <c r="AN161" s="49" t="s">
        <v>586</v>
      </c>
      <c r="AO161" s="37" t="s">
        <v>586</v>
      </c>
      <c r="AP161" s="50" t="s">
        <v>577</v>
      </c>
      <c r="AQ161" s="37" t="s">
        <v>167</v>
      </c>
      <c r="AR161" s="37" t="s">
        <v>596</v>
      </c>
      <c r="AS161" s="52" t="s">
        <v>582</v>
      </c>
      <c r="AT161" s="51" t="s">
        <v>583</v>
      </c>
      <c r="AU161" s="52" t="s">
        <v>587</v>
      </c>
      <c r="AV161" s="51" t="s">
        <v>588</v>
      </c>
      <c r="AW161" s="37" t="s">
        <v>597</v>
      </c>
      <c r="AX161" s="37" t="s">
        <v>597</v>
      </c>
      <c r="AY161" s="53">
        <v>46327</v>
      </c>
      <c r="AZ161" s="53">
        <v>46722</v>
      </c>
      <c r="BA161" s="37" t="s">
        <v>600</v>
      </c>
      <c r="BB161" s="37" t="s">
        <v>170</v>
      </c>
      <c r="BC161" s="37" t="s">
        <v>596</v>
      </c>
      <c r="BD161" s="37" t="s">
        <v>596</v>
      </c>
      <c r="BE161" s="37" t="s">
        <v>598</v>
      </c>
      <c r="BF161" s="37" t="s">
        <v>599</v>
      </c>
      <c r="BG161" s="39" t="b">
        <f t="shared" si="8"/>
        <v>1</v>
      </c>
      <c r="BH161" s="39" t="str">
        <f t="shared" si="9"/>
        <v>Inadequate Design Capacity</v>
      </c>
      <c r="BI161" s="39" t="b">
        <f t="shared" si="10"/>
        <v>0</v>
      </c>
      <c r="BJ161">
        <f t="shared" si="11"/>
        <v>46722</v>
      </c>
      <c r="BK161" s="39" t="str">
        <f>IF(A161="","",IF(BI161&lt;&gt;TRUE(),"No specific plan",IF(ISNUMBER(BJ161),IF(BJ161&lt;'Exec Summary'!$C$4,"Resolved before Feb 2027","Resolved after Feb 2027"),"CLIENT INPUT REQUIRED")))</f>
        <v>No specific plan</v>
      </c>
    </row>
    <row r="162" spans="1:63" ht="27" customHeight="1" x14ac:dyDescent="0.25">
      <c r="A162" s="38">
        <v>159</v>
      </c>
      <c r="B162" s="38" t="s">
        <v>520</v>
      </c>
      <c r="C162" s="38" t="s">
        <v>523</v>
      </c>
      <c r="D162" s="38">
        <v>24.388293999999998</v>
      </c>
      <c r="E162" s="38">
        <v>55.725175999999998</v>
      </c>
      <c r="F162" s="38" t="s">
        <v>12</v>
      </c>
      <c r="G162" s="38" t="s">
        <v>166</v>
      </c>
      <c r="H162" s="38"/>
      <c r="I162" s="38" t="s">
        <v>170</v>
      </c>
      <c r="J162" s="38" t="s">
        <v>23</v>
      </c>
      <c r="K162" s="61" t="s">
        <v>524</v>
      </c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7" t="s">
        <v>170</v>
      </c>
      <c r="AN162" s="49" t="s">
        <v>586</v>
      </c>
      <c r="AO162" s="37" t="s">
        <v>586</v>
      </c>
      <c r="AP162" s="50" t="s">
        <v>577</v>
      </c>
      <c r="AQ162" s="37" t="s">
        <v>167</v>
      </c>
      <c r="AR162" s="37" t="s">
        <v>596</v>
      </c>
      <c r="AS162" s="52" t="s">
        <v>582</v>
      </c>
      <c r="AT162" s="51" t="s">
        <v>583</v>
      </c>
      <c r="AU162" s="52" t="s">
        <v>587</v>
      </c>
      <c r="AV162" s="51" t="s">
        <v>588</v>
      </c>
      <c r="AW162" s="37" t="s">
        <v>597</v>
      </c>
      <c r="AX162" s="37" t="s">
        <v>597</v>
      </c>
      <c r="AY162" s="53">
        <v>46327</v>
      </c>
      <c r="AZ162" s="53">
        <v>46722</v>
      </c>
      <c r="BA162" s="37" t="s">
        <v>600</v>
      </c>
      <c r="BB162" s="37" t="s">
        <v>170</v>
      </c>
      <c r="BC162" s="37" t="s">
        <v>596</v>
      </c>
      <c r="BD162" s="37" t="s">
        <v>596</v>
      </c>
      <c r="BE162" s="37" t="s">
        <v>598</v>
      </c>
      <c r="BF162" s="37" t="s">
        <v>599</v>
      </c>
      <c r="BG162" s="39" t="b">
        <f t="shared" si="8"/>
        <v>1</v>
      </c>
      <c r="BH162" s="39" t="str">
        <f t="shared" si="9"/>
        <v>Inadequate Design Capacity</v>
      </c>
      <c r="BI162" s="39" t="b">
        <f t="shared" si="10"/>
        <v>0</v>
      </c>
      <c r="BJ162">
        <f t="shared" si="11"/>
        <v>46722</v>
      </c>
      <c r="BK162" s="39" t="str">
        <f>IF(A162="","",IF(BI162&lt;&gt;TRUE(),"No specific plan",IF(ISNUMBER(BJ162),IF(BJ162&lt;'Exec Summary'!$C$4,"Resolved before Feb 2027","Resolved after Feb 2027"),"CLIENT INPUT REQUIRED")))</f>
        <v>No specific plan</v>
      </c>
    </row>
    <row r="163" spans="1:63" ht="27" customHeight="1" x14ac:dyDescent="0.25">
      <c r="A163" s="38">
        <v>160</v>
      </c>
      <c r="B163" s="38" t="s">
        <v>520</v>
      </c>
      <c r="C163" s="38" t="s">
        <v>525</v>
      </c>
      <c r="D163" s="38">
        <v>24.410122999999999</v>
      </c>
      <c r="E163" s="38">
        <v>55.704900000000002</v>
      </c>
      <c r="F163" s="38" t="s">
        <v>12</v>
      </c>
      <c r="G163" s="38" t="s">
        <v>166</v>
      </c>
      <c r="H163" s="38"/>
      <c r="I163" s="38" t="s">
        <v>170</v>
      </c>
      <c r="J163" s="38" t="s">
        <v>23</v>
      </c>
      <c r="K163" s="61" t="s">
        <v>526</v>
      </c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7" t="s">
        <v>170</v>
      </c>
      <c r="AN163" s="49" t="s">
        <v>586</v>
      </c>
      <c r="AO163" s="37" t="s">
        <v>586</v>
      </c>
      <c r="AP163" s="50" t="s">
        <v>577</v>
      </c>
      <c r="AQ163" s="37" t="s">
        <v>167</v>
      </c>
      <c r="AR163" s="37" t="s">
        <v>596</v>
      </c>
      <c r="AS163" s="52" t="s">
        <v>582</v>
      </c>
      <c r="AT163" s="51" t="s">
        <v>583</v>
      </c>
      <c r="AU163" s="52" t="s">
        <v>587</v>
      </c>
      <c r="AV163" s="51" t="s">
        <v>588</v>
      </c>
      <c r="AW163" s="37" t="s">
        <v>597</v>
      </c>
      <c r="AX163" s="37" t="s">
        <v>597</v>
      </c>
      <c r="AY163" s="53">
        <v>46327</v>
      </c>
      <c r="AZ163" s="53">
        <v>46722</v>
      </c>
      <c r="BA163" s="37" t="s">
        <v>600</v>
      </c>
      <c r="BB163" s="37" t="s">
        <v>170</v>
      </c>
      <c r="BC163" s="37" t="s">
        <v>596</v>
      </c>
      <c r="BD163" s="37" t="s">
        <v>596</v>
      </c>
      <c r="BE163" s="37" t="s">
        <v>598</v>
      </c>
      <c r="BF163" s="37" t="s">
        <v>599</v>
      </c>
      <c r="BG163" s="39" t="b">
        <f t="shared" si="8"/>
        <v>1</v>
      </c>
      <c r="BH163" s="39" t="str">
        <f t="shared" si="9"/>
        <v>Inadequate Design Capacity</v>
      </c>
      <c r="BI163" s="39" t="b">
        <f t="shared" si="10"/>
        <v>0</v>
      </c>
      <c r="BJ163">
        <f t="shared" si="11"/>
        <v>46722</v>
      </c>
      <c r="BK163" s="39" t="str">
        <f>IF(A163="","",IF(BI163&lt;&gt;TRUE(),"No specific plan",IF(ISNUMBER(BJ163),IF(BJ163&lt;'Exec Summary'!$C$4,"Resolved before Feb 2027","Resolved after Feb 2027"),"CLIENT INPUT REQUIRED")))</f>
        <v>No specific plan</v>
      </c>
    </row>
    <row r="164" spans="1:63" ht="27" customHeight="1" x14ac:dyDescent="0.25">
      <c r="A164" s="38">
        <v>161</v>
      </c>
      <c r="B164" s="38" t="s">
        <v>520</v>
      </c>
      <c r="C164" s="38" t="s">
        <v>525</v>
      </c>
      <c r="D164" s="38">
        <v>24.438976</v>
      </c>
      <c r="E164" s="38">
        <v>55.667631</v>
      </c>
      <c r="F164" s="38" t="s">
        <v>12</v>
      </c>
      <c r="G164" s="38" t="s">
        <v>166</v>
      </c>
      <c r="H164" s="38"/>
      <c r="I164" s="38" t="s">
        <v>170</v>
      </c>
      <c r="J164" s="38" t="s">
        <v>23</v>
      </c>
      <c r="K164" s="61" t="s">
        <v>526</v>
      </c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7" t="s">
        <v>170</v>
      </c>
      <c r="AN164" s="49" t="s">
        <v>586</v>
      </c>
      <c r="AO164" s="37" t="s">
        <v>586</v>
      </c>
      <c r="AP164" s="50" t="s">
        <v>577</v>
      </c>
      <c r="AQ164" s="37" t="s">
        <v>167</v>
      </c>
      <c r="AR164" s="37" t="s">
        <v>596</v>
      </c>
      <c r="AS164" s="52" t="s">
        <v>582</v>
      </c>
      <c r="AT164" s="51" t="s">
        <v>583</v>
      </c>
      <c r="AU164" s="52" t="s">
        <v>587</v>
      </c>
      <c r="AV164" s="51" t="s">
        <v>588</v>
      </c>
      <c r="AW164" s="37" t="s">
        <v>597</v>
      </c>
      <c r="AX164" s="37" t="s">
        <v>597</v>
      </c>
      <c r="AY164" s="53">
        <v>46327</v>
      </c>
      <c r="AZ164" s="53">
        <v>46722</v>
      </c>
      <c r="BA164" s="37" t="s">
        <v>600</v>
      </c>
      <c r="BB164" s="37" t="s">
        <v>170</v>
      </c>
      <c r="BC164" s="37" t="s">
        <v>596</v>
      </c>
      <c r="BD164" s="37" t="s">
        <v>596</v>
      </c>
      <c r="BE164" s="37" t="s">
        <v>598</v>
      </c>
      <c r="BF164" s="37" t="s">
        <v>599</v>
      </c>
      <c r="BG164" s="39" t="b">
        <f t="shared" si="8"/>
        <v>1</v>
      </c>
      <c r="BH164" s="39" t="str">
        <f t="shared" si="9"/>
        <v>Inadequate Design Capacity</v>
      </c>
      <c r="BI164" s="39" t="b">
        <f t="shared" si="10"/>
        <v>0</v>
      </c>
      <c r="BJ164">
        <f t="shared" si="11"/>
        <v>46722</v>
      </c>
      <c r="BK164" s="39" t="str">
        <f>IF(A164="","",IF(BI164&lt;&gt;TRUE(),"No specific plan",IF(ISNUMBER(BJ164),IF(BJ164&lt;'Exec Summary'!$C$4,"Resolved before Feb 2027","Resolved after Feb 2027"),"CLIENT INPUT REQUIRED")))</f>
        <v>No specific plan</v>
      </c>
    </row>
    <row r="165" spans="1:63" ht="27" customHeight="1" x14ac:dyDescent="0.25">
      <c r="A165" s="38">
        <v>162</v>
      </c>
      <c r="B165" s="38" t="s">
        <v>520</v>
      </c>
      <c r="C165" s="38" t="s">
        <v>527</v>
      </c>
      <c r="D165" s="38">
        <v>24.421953999999999</v>
      </c>
      <c r="E165" s="38">
        <v>55.688723000000003</v>
      </c>
      <c r="F165" s="38" t="s">
        <v>12</v>
      </c>
      <c r="G165" s="38" t="s">
        <v>166</v>
      </c>
      <c r="H165" s="38"/>
      <c r="I165" s="38" t="s">
        <v>170</v>
      </c>
      <c r="J165" s="38" t="s">
        <v>23</v>
      </c>
      <c r="K165" s="61" t="s">
        <v>528</v>
      </c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7" t="s">
        <v>170</v>
      </c>
      <c r="AN165" s="49" t="s">
        <v>586</v>
      </c>
      <c r="AO165" s="37" t="s">
        <v>586</v>
      </c>
      <c r="AP165" s="50" t="s">
        <v>577</v>
      </c>
      <c r="AQ165" s="37" t="s">
        <v>167</v>
      </c>
      <c r="AR165" s="37" t="s">
        <v>596</v>
      </c>
      <c r="AS165" s="52" t="s">
        <v>582</v>
      </c>
      <c r="AT165" s="51" t="s">
        <v>583</v>
      </c>
      <c r="AU165" s="52" t="s">
        <v>587</v>
      </c>
      <c r="AV165" s="51" t="s">
        <v>588</v>
      </c>
      <c r="AW165" s="37" t="s">
        <v>597</v>
      </c>
      <c r="AX165" s="37" t="s">
        <v>597</v>
      </c>
      <c r="AY165" s="53">
        <v>46327</v>
      </c>
      <c r="AZ165" s="53">
        <v>46722</v>
      </c>
      <c r="BA165" s="37" t="s">
        <v>600</v>
      </c>
      <c r="BB165" s="37" t="s">
        <v>170</v>
      </c>
      <c r="BC165" s="37" t="s">
        <v>596</v>
      </c>
      <c r="BD165" s="37" t="s">
        <v>596</v>
      </c>
      <c r="BE165" s="37" t="s">
        <v>598</v>
      </c>
      <c r="BF165" s="37" t="s">
        <v>599</v>
      </c>
      <c r="BG165" s="39" t="b">
        <f t="shared" si="8"/>
        <v>1</v>
      </c>
      <c r="BH165" s="39" t="str">
        <f t="shared" si="9"/>
        <v>Inadequate Design Capacity</v>
      </c>
      <c r="BI165" s="39" t="b">
        <f t="shared" si="10"/>
        <v>0</v>
      </c>
      <c r="BJ165">
        <f t="shared" si="11"/>
        <v>46722</v>
      </c>
      <c r="BK165" s="39" t="str">
        <f>IF(A165="","",IF(BI165&lt;&gt;TRUE(),"No specific plan",IF(ISNUMBER(BJ165),IF(BJ165&lt;'Exec Summary'!$C$4,"Resolved before Feb 2027","Resolved after Feb 2027"),"CLIENT INPUT REQUIRED")))</f>
        <v>No specific plan</v>
      </c>
    </row>
    <row r="166" spans="1:63" ht="27" customHeight="1" x14ac:dyDescent="0.25">
      <c r="A166" s="38">
        <v>163</v>
      </c>
      <c r="B166" s="38" t="s">
        <v>529</v>
      </c>
      <c r="C166" s="38" t="s">
        <v>530</v>
      </c>
      <c r="D166" s="38">
        <v>24.4575857208686</v>
      </c>
      <c r="E166" s="38">
        <v>55.317380026985496</v>
      </c>
      <c r="F166" s="38" t="s">
        <v>12</v>
      </c>
      <c r="G166" s="38" t="s">
        <v>235</v>
      </c>
      <c r="H166" s="38"/>
      <c r="I166" s="38" t="s">
        <v>170</v>
      </c>
      <c r="J166" s="38" t="s">
        <v>23</v>
      </c>
      <c r="K166" s="61" t="s">
        <v>531</v>
      </c>
      <c r="L166" s="38"/>
      <c r="M166" s="38"/>
      <c r="N166" s="38"/>
      <c r="O166" s="38"/>
      <c r="P166" s="38">
        <v>2</v>
      </c>
      <c r="Q166" s="38"/>
      <c r="R166" s="38"/>
      <c r="S166" s="38"/>
      <c r="T166" s="38"/>
      <c r="U166" s="38"/>
      <c r="V166" s="38"/>
      <c r="W166" s="38"/>
      <c r="X166" s="38"/>
      <c r="Y166" s="38"/>
      <c r="Z166" s="38">
        <v>10000</v>
      </c>
      <c r="AA166" s="38">
        <v>10</v>
      </c>
      <c r="AB166" s="38">
        <v>50000</v>
      </c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7" t="s">
        <v>167</v>
      </c>
      <c r="AN166" s="49" t="s">
        <v>576</v>
      </c>
      <c r="AO166" s="37" t="s">
        <v>576</v>
      </c>
      <c r="AP166" s="50" t="s">
        <v>577</v>
      </c>
      <c r="AQ166" s="37" t="s">
        <v>167</v>
      </c>
      <c r="AR166" s="37" t="s">
        <v>596</v>
      </c>
      <c r="AS166" s="52" t="s">
        <v>582</v>
      </c>
      <c r="AT166" s="51" t="s">
        <v>583</v>
      </c>
      <c r="AU166" s="51" t="s">
        <v>576</v>
      </c>
      <c r="AV166" s="51" t="s">
        <v>576</v>
      </c>
      <c r="AW166" s="37" t="s">
        <v>597</v>
      </c>
      <c r="AX166" s="37" t="s">
        <v>597</v>
      </c>
      <c r="AY166" s="50" t="s">
        <v>580</v>
      </c>
      <c r="AZ166" s="50" t="s">
        <v>580</v>
      </c>
      <c r="BA166" s="37" t="s">
        <v>580</v>
      </c>
      <c r="BB166" s="37" t="s">
        <v>167</v>
      </c>
      <c r="BC166" s="37" t="s">
        <v>596</v>
      </c>
      <c r="BD166" s="37" t="s">
        <v>596</v>
      </c>
      <c r="BE166" s="37" t="s">
        <v>598</v>
      </c>
      <c r="BF166" s="37" t="s">
        <v>599</v>
      </c>
      <c r="BG166" s="39" t="b">
        <f t="shared" si="8"/>
        <v>1</v>
      </c>
      <c r="BH166" s="39" t="str">
        <f t="shared" si="9"/>
        <v>Inadequate Design Capacity</v>
      </c>
      <c r="BI166" s="39" t="b">
        <f t="shared" si="10"/>
        <v>0</v>
      </c>
      <c r="BJ166" t="str">
        <f t="shared" si="11"/>
        <v>CLIENT INPUT REQUIRED</v>
      </c>
      <c r="BK166" s="39" t="str">
        <f>IF(A166="","",IF(BI166&lt;&gt;TRUE(),"No specific plan",IF(ISNUMBER(BJ166),IF(BJ166&lt;'Exec Summary'!$C$4,"Resolved before Feb 2027","Resolved after Feb 2027"),"CLIENT INPUT REQUIRED")))</f>
        <v>No specific plan</v>
      </c>
    </row>
    <row r="167" spans="1:63" ht="27" customHeight="1" x14ac:dyDescent="0.25">
      <c r="A167" s="38">
        <v>164</v>
      </c>
      <c r="B167" s="38" t="s">
        <v>529</v>
      </c>
      <c r="C167" s="38" t="s">
        <v>532</v>
      </c>
      <c r="D167" s="38">
        <v>24.5641575990395</v>
      </c>
      <c r="E167" s="38">
        <v>55.197374359521604</v>
      </c>
      <c r="F167" s="38" t="s">
        <v>12</v>
      </c>
      <c r="G167" s="38" t="s">
        <v>166</v>
      </c>
      <c r="H167" s="38"/>
      <c r="I167" s="38" t="s">
        <v>170</v>
      </c>
      <c r="J167" s="38" t="s">
        <v>23</v>
      </c>
      <c r="K167" s="61" t="s">
        <v>533</v>
      </c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7" t="s">
        <v>167</v>
      </c>
      <c r="AN167" s="49" t="s">
        <v>576</v>
      </c>
      <c r="AO167" s="37" t="s">
        <v>576</v>
      </c>
      <c r="AP167" s="50" t="s">
        <v>577</v>
      </c>
      <c r="AQ167" s="37" t="s">
        <v>167</v>
      </c>
      <c r="AR167" s="37" t="s">
        <v>596</v>
      </c>
      <c r="AS167" s="52" t="s">
        <v>582</v>
      </c>
      <c r="AT167" s="51" t="s">
        <v>583</v>
      </c>
      <c r="AU167" s="51" t="s">
        <v>576</v>
      </c>
      <c r="AV167" s="51" t="s">
        <v>576</v>
      </c>
      <c r="AW167" s="37" t="s">
        <v>597</v>
      </c>
      <c r="AX167" s="37" t="s">
        <v>597</v>
      </c>
      <c r="AY167" s="50" t="s">
        <v>580</v>
      </c>
      <c r="AZ167" s="50" t="s">
        <v>580</v>
      </c>
      <c r="BA167" s="37" t="s">
        <v>580</v>
      </c>
      <c r="BB167" s="37" t="s">
        <v>167</v>
      </c>
      <c r="BC167" s="37" t="s">
        <v>596</v>
      </c>
      <c r="BD167" s="37" t="s">
        <v>596</v>
      </c>
      <c r="BE167" s="37" t="s">
        <v>598</v>
      </c>
      <c r="BF167" s="37" t="s">
        <v>599</v>
      </c>
      <c r="BG167" s="39" t="b">
        <f t="shared" si="8"/>
        <v>1</v>
      </c>
      <c r="BH167" s="39" t="str">
        <f t="shared" si="9"/>
        <v>Inadequate Design Capacity</v>
      </c>
      <c r="BI167" s="39" t="b">
        <f t="shared" si="10"/>
        <v>0</v>
      </c>
      <c r="BJ167" t="str">
        <f t="shared" si="11"/>
        <v>CLIENT INPUT REQUIRED</v>
      </c>
      <c r="BK167" s="39" t="str">
        <f>IF(A167="","",IF(BI167&lt;&gt;TRUE(),"No specific plan",IF(ISNUMBER(BJ167),IF(BJ167&lt;'Exec Summary'!$C$4,"Resolved before Feb 2027","Resolved after Feb 2027"),"CLIENT INPUT REQUIRED")))</f>
        <v>No specific plan</v>
      </c>
    </row>
    <row r="168" spans="1:63" ht="27" customHeight="1" x14ac:dyDescent="0.25">
      <c r="A168" s="38">
        <v>165</v>
      </c>
      <c r="B168" s="38" t="s">
        <v>529</v>
      </c>
      <c r="C168" s="38" t="s">
        <v>534</v>
      </c>
      <c r="D168" s="38">
        <v>24.5033439140411</v>
      </c>
      <c r="E168" s="38">
        <v>55.296364911642499</v>
      </c>
      <c r="F168" s="38" t="s">
        <v>12</v>
      </c>
      <c r="G168" s="38" t="s">
        <v>166</v>
      </c>
      <c r="H168" s="38"/>
      <c r="I168" s="38" t="s">
        <v>170</v>
      </c>
      <c r="J168" s="38" t="s">
        <v>23</v>
      </c>
      <c r="K168" s="61" t="s">
        <v>535</v>
      </c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7" t="s">
        <v>167</v>
      </c>
      <c r="AN168" s="49" t="s">
        <v>576</v>
      </c>
      <c r="AO168" s="37" t="s">
        <v>576</v>
      </c>
      <c r="AP168" s="50" t="s">
        <v>577</v>
      </c>
      <c r="AQ168" s="37" t="s">
        <v>167</v>
      </c>
      <c r="AR168" s="37" t="s">
        <v>596</v>
      </c>
      <c r="AS168" s="52" t="s">
        <v>582</v>
      </c>
      <c r="AT168" s="51" t="s">
        <v>583</v>
      </c>
      <c r="AU168" s="51" t="s">
        <v>576</v>
      </c>
      <c r="AV168" s="51" t="s">
        <v>576</v>
      </c>
      <c r="AW168" s="37" t="s">
        <v>597</v>
      </c>
      <c r="AX168" s="37" t="s">
        <v>597</v>
      </c>
      <c r="AY168" s="50" t="s">
        <v>580</v>
      </c>
      <c r="AZ168" s="50" t="s">
        <v>580</v>
      </c>
      <c r="BA168" s="37" t="s">
        <v>580</v>
      </c>
      <c r="BB168" s="37" t="s">
        <v>167</v>
      </c>
      <c r="BC168" s="37" t="s">
        <v>596</v>
      </c>
      <c r="BD168" s="37" t="s">
        <v>596</v>
      </c>
      <c r="BE168" s="37" t="s">
        <v>598</v>
      </c>
      <c r="BF168" s="37" t="s">
        <v>599</v>
      </c>
      <c r="BG168" s="39" t="b">
        <f t="shared" si="8"/>
        <v>1</v>
      </c>
      <c r="BH168" s="39" t="str">
        <f t="shared" si="9"/>
        <v>Inadequate Design Capacity</v>
      </c>
      <c r="BI168" s="39" t="b">
        <f t="shared" si="10"/>
        <v>0</v>
      </c>
      <c r="BJ168" t="str">
        <f t="shared" si="11"/>
        <v>CLIENT INPUT REQUIRED</v>
      </c>
      <c r="BK168" s="39" t="str">
        <f>IF(A168="","",IF(BI168&lt;&gt;TRUE(),"No specific plan",IF(ISNUMBER(BJ168),IF(BJ168&lt;'Exec Summary'!$C$4,"Resolved before Feb 2027","Resolved after Feb 2027"),"CLIENT INPUT REQUIRED")))</f>
        <v>No specific plan</v>
      </c>
    </row>
    <row r="169" spans="1:63" ht="27" customHeight="1" x14ac:dyDescent="0.25">
      <c r="A169" s="38">
        <v>166</v>
      </c>
      <c r="B169" s="38" t="s">
        <v>529</v>
      </c>
      <c r="C169" s="38" t="s">
        <v>536</v>
      </c>
      <c r="D169" s="38">
        <v>24.363524207392</v>
      </c>
      <c r="E169" s="38">
        <v>55.398335255821202</v>
      </c>
      <c r="F169" s="38" t="s">
        <v>12</v>
      </c>
      <c r="G169" s="38" t="s">
        <v>166</v>
      </c>
      <c r="H169" s="38"/>
      <c r="I169" s="38" t="s">
        <v>170</v>
      </c>
      <c r="J169" s="38" t="s">
        <v>23</v>
      </c>
      <c r="K169" s="61" t="s">
        <v>537</v>
      </c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7" t="s">
        <v>170</v>
      </c>
      <c r="AN169" s="49" t="s">
        <v>586</v>
      </c>
      <c r="AO169" s="37" t="s">
        <v>586</v>
      </c>
      <c r="AP169" s="50" t="s">
        <v>577</v>
      </c>
      <c r="AQ169" s="37" t="s">
        <v>167</v>
      </c>
      <c r="AR169" s="37" t="s">
        <v>596</v>
      </c>
      <c r="AS169" s="52" t="s">
        <v>582</v>
      </c>
      <c r="AT169" s="51" t="s">
        <v>583</v>
      </c>
      <c r="AU169" s="52" t="s">
        <v>587</v>
      </c>
      <c r="AV169" s="51" t="s">
        <v>588</v>
      </c>
      <c r="AW169" s="37" t="s">
        <v>597</v>
      </c>
      <c r="AX169" s="37" t="s">
        <v>597</v>
      </c>
      <c r="AY169" s="53">
        <v>46327</v>
      </c>
      <c r="AZ169" s="53">
        <v>46722</v>
      </c>
      <c r="BA169" s="37" t="s">
        <v>600</v>
      </c>
      <c r="BB169" s="37" t="s">
        <v>170</v>
      </c>
      <c r="BC169" s="37" t="s">
        <v>596</v>
      </c>
      <c r="BD169" s="37" t="s">
        <v>596</v>
      </c>
      <c r="BE169" s="37" t="s">
        <v>598</v>
      </c>
      <c r="BF169" s="37" t="s">
        <v>599</v>
      </c>
      <c r="BG169" s="39" t="b">
        <f t="shared" si="8"/>
        <v>1</v>
      </c>
      <c r="BH169" s="39" t="str">
        <f t="shared" si="9"/>
        <v>Inadequate Design Capacity</v>
      </c>
      <c r="BI169" s="39" t="b">
        <f t="shared" si="10"/>
        <v>0</v>
      </c>
      <c r="BJ169">
        <f t="shared" si="11"/>
        <v>46722</v>
      </c>
      <c r="BK169" s="39" t="str">
        <f>IF(A169="","",IF(BI169&lt;&gt;TRUE(),"No specific plan",IF(ISNUMBER(BJ169),IF(BJ169&lt;'Exec Summary'!$C$4,"Resolved before Feb 2027","Resolved after Feb 2027"),"CLIENT INPUT REQUIRED")))</f>
        <v>No specific plan</v>
      </c>
    </row>
    <row r="170" spans="1:63" ht="27" customHeight="1" x14ac:dyDescent="0.25">
      <c r="A170" s="38">
        <v>167</v>
      </c>
      <c r="B170" s="38" t="s">
        <v>529</v>
      </c>
      <c r="C170" s="38" t="s">
        <v>538</v>
      </c>
      <c r="D170" s="38">
        <v>24.457223123033899</v>
      </c>
      <c r="E170" s="38">
        <v>55.3013396423285</v>
      </c>
      <c r="F170" s="38" t="s">
        <v>12</v>
      </c>
      <c r="G170" s="38" t="s">
        <v>166</v>
      </c>
      <c r="H170" s="38"/>
      <c r="I170" s="38" t="s">
        <v>170</v>
      </c>
      <c r="J170" s="38" t="s">
        <v>23</v>
      </c>
      <c r="K170" s="61" t="s">
        <v>539</v>
      </c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7" t="s">
        <v>167</v>
      </c>
      <c r="AN170" s="49" t="s">
        <v>576</v>
      </c>
      <c r="AO170" s="37" t="s">
        <v>576</v>
      </c>
      <c r="AP170" s="50" t="s">
        <v>577</v>
      </c>
      <c r="AQ170" s="37" t="s">
        <v>167</v>
      </c>
      <c r="AR170" s="37" t="s">
        <v>596</v>
      </c>
      <c r="AS170" s="52" t="s">
        <v>582</v>
      </c>
      <c r="AT170" s="51" t="s">
        <v>583</v>
      </c>
      <c r="AU170" s="51" t="s">
        <v>576</v>
      </c>
      <c r="AV170" s="51" t="s">
        <v>576</v>
      </c>
      <c r="AW170" s="37" t="s">
        <v>597</v>
      </c>
      <c r="AX170" s="37" t="s">
        <v>597</v>
      </c>
      <c r="AY170" s="50" t="s">
        <v>580</v>
      </c>
      <c r="AZ170" s="50" t="s">
        <v>580</v>
      </c>
      <c r="BA170" s="37" t="s">
        <v>580</v>
      </c>
      <c r="BB170" s="37" t="s">
        <v>167</v>
      </c>
      <c r="BC170" s="37" t="s">
        <v>596</v>
      </c>
      <c r="BD170" s="37" t="s">
        <v>596</v>
      </c>
      <c r="BE170" s="37" t="s">
        <v>598</v>
      </c>
      <c r="BF170" s="37" t="s">
        <v>599</v>
      </c>
      <c r="BG170" s="39" t="b">
        <f t="shared" si="8"/>
        <v>1</v>
      </c>
      <c r="BH170" s="39" t="str">
        <f t="shared" si="9"/>
        <v>Inadequate Design Capacity</v>
      </c>
      <c r="BI170" s="39" t="b">
        <f t="shared" si="10"/>
        <v>0</v>
      </c>
      <c r="BJ170" t="str">
        <f t="shared" si="11"/>
        <v>CLIENT INPUT REQUIRED</v>
      </c>
      <c r="BK170" s="39" t="str">
        <f>IF(A170="","",IF(BI170&lt;&gt;TRUE(),"No specific plan",IF(ISNUMBER(BJ170),IF(BJ170&lt;'Exec Summary'!$C$4,"Resolved before Feb 2027","Resolved after Feb 2027"),"CLIENT INPUT REQUIRED")))</f>
        <v>No specific plan</v>
      </c>
    </row>
    <row r="171" spans="1:63" ht="27" customHeight="1" x14ac:dyDescent="0.25">
      <c r="A171" s="38">
        <v>168</v>
      </c>
      <c r="B171" s="38" t="s">
        <v>529</v>
      </c>
      <c r="C171" s="38" t="s">
        <v>540</v>
      </c>
      <c r="D171" s="38">
        <v>24.481655180696499</v>
      </c>
      <c r="E171" s="38">
        <v>55.319499711365701</v>
      </c>
      <c r="F171" s="38" t="s">
        <v>12</v>
      </c>
      <c r="G171" s="38" t="s">
        <v>166</v>
      </c>
      <c r="H171" s="38"/>
      <c r="I171" s="38" t="s">
        <v>170</v>
      </c>
      <c r="J171" s="38" t="s">
        <v>23</v>
      </c>
      <c r="K171" s="61" t="s">
        <v>541</v>
      </c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7" t="s">
        <v>167</v>
      </c>
      <c r="AN171" s="49" t="s">
        <v>576</v>
      </c>
      <c r="AO171" s="37" t="s">
        <v>576</v>
      </c>
      <c r="AP171" s="50" t="s">
        <v>577</v>
      </c>
      <c r="AQ171" s="37" t="s">
        <v>167</v>
      </c>
      <c r="AR171" s="37" t="s">
        <v>596</v>
      </c>
      <c r="AS171" s="52" t="s">
        <v>582</v>
      </c>
      <c r="AT171" s="51" t="s">
        <v>583</v>
      </c>
      <c r="AU171" s="51" t="s">
        <v>576</v>
      </c>
      <c r="AV171" s="51" t="s">
        <v>576</v>
      </c>
      <c r="AW171" s="37" t="s">
        <v>597</v>
      </c>
      <c r="AX171" s="37" t="s">
        <v>597</v>
      </c>
      <c r="AY171" s="50" t="s">
        <v>580</v>
      </c>
      <c r="AZ171" s="50" t="s">
        <v>580</v>
      </c>
      <c r="BA171" s="37" t="s">
        <v>580</v>
      </c>
      <c r="BB171" s="37" t="s">
        <v>167</v>
      </c>
      <c r="BC171" s="37" t="s">
        <v>596</v>
      </c>
      <c r="BD171" s="37" t="s">
        <v>596</v>
      </c>
      <c r="BE171" s="37" t="s">
        <v>598</v>
      </c>
      <c r="BF171" s="37" t="s">
        <v>599</v>
      </c>
      <c r="BG171" s="39" t="b">
        <f t="shared" si="8"/>
        <v>1</v>
      </c>
      <c r="BH171" s="39" t="str">
        <f t="shared" si="9"/>
        <v>Inadequate Design Capacity</v>
      </c>
      <c r="BI171" s="39" t="b">
        <f t="shared" si="10"/>
        <v>0</v>
      </c>
      <c r="BJ171" t="str">
        <f t="shared" si="11"/>
        <v>CLIENT INPUT REQUIRED</v>
      </c>
      <c r="BK171" s="39" t="str">
        <f>IF(A171="","",IF(BI171&lt;&gt;TRUE(),"No specific plan",IF(ISNUMBER(BJ171),IF(BJ171&lt;'Exec Summary'!$C$4,"Resolved before Feb 2027","Resolved after Feb 2027"),"CLIENT INPUT REQUIRED")))</f>
        <v>No specific plan</v>
      </c>
    </row>
    <row r="172" spans="1:63" ht="27" customHeight="1" x14ac:dyDescent="0.25">
      <c r="A172" s="38">
        <v>169</v>
      </c>
      <c r="B172" s="38" t="s">
        <v>529</v>
      </c>
      <c r="C172" s="38" t="s">
        <v>542</v>
      </c>
      <c r="D172" s="38">
        <v>24.3034073370548</v>
      </c>
      <c r="E172" s="38">
        <v>55.421067557073599</v>
      </c>
      <c r="F172" s="38" t="s">
        <v>12</v>
      </c>
      <c r="G172" s="38" t="s">
        <v>166</v>
      </c>
      <c r="H172" s="38"/>
      <c r="I172" s="38" t="s">
        <v>170</v>
      </c>
      <c r="J172" s="38" t="s">
        <v>23</v>
      </c>
      <c r="K172" s="61" t="s">
        <v>543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7" t="s">
        <v>170</v>
      </c>
      <c r="AN172" s="49" t="s">
        <v>586</v>
      </c>
      <c r="AO172" s="37" t="s">
        <v>586</v>
      </c>
      <c r="AP172" s="50" t="s">
        <v>577</v>
      </c>
      <c r="AQ172" s="37" t="s">
        <v>167</v>
      </c>
      <c r="AR172" s="37" t="s">
        <v>596</v>
      </c>
      <c r="AS172" s="52" t="s">
        <v>582</v>
      </c>
      <c r="AT172" s="51" t="s">
        <v>583</v>
      </c>
      <c r="AU172" s="52" t="s">
        <v>587</v>
      </c>
      <c r="AV172" s="51" t="s">
        <v>588</v>
      </c>
      <c r="AW172" s="37" t="s">
        <v>597</v>
      </c>
      <c r="AX172" s="37" t="s">
        <v>597</v>
      </c>
      <c r="AY172" s="53">
        <v>46327</v>
      </c>
      <c r="AZ172" s="53">
        <v>46722</v>
      </c>
      <c r="BA172" s="37" t="s">
        <v>600</v>
      </c>
      <c r="BB172" s="37" t="s">
        <v>170</v>
      </c>
      <c r="BC172" s="37" t="s">
        <v>596</v>
      </c>
      <c r="BD172" s="37" t="s">
        <v>596</v>
      </c>
      <c r="BE172" s="37" t="s">
        <v>598</v>
      </c>
      <c r="BF172" s="37" t="s">
        <v>599</v>
      </c>
      <c r="BG172" s="39" t="b">
        <f t="shared" si="8"/>
        <v>1</v>
      </c>
      <c r="BH172" s="39" t="str">
        <f t="shared" si="9"/>
        <v>Inadequate Design Capacity</v>
      </c>
      <c r="BI172" s="39" t="b">
        <f t="shared" si="10"/>
        <v>0</v>
      </c>
      <c r="BJ172">
        <f t="shared" si="11"/>
        <v>46722</v>
      </c>
      <c r="BK172" s="39" t="str">
        <f>IF(A172="","",IF(BI172&lt;&gt;TRUE(),"No specific plan",IF(ISNUMBER(BJ172),IF(BJ172&lt;'Exec Summary'!$C$4,"Resolved before Feb 2027","Resolved after Feb 2027"),"CLIENT INPUT REQUIRED")))</f>
        <v>No specific plan</v>
      </c>
    </row>
    <row r="173" spans="1:63" ht="27" customHeight="1" x14ac:dyDescent="0.25">
      <c r="A173" s="38">
        <v>170</v>
      </c>
      <c r="B173" s="38" t="s">
        <v>529</v>
      </c>
      <c r="C173" s="38" t="s">
        <v>544</v>
      </c>
      <c r="D173" s="38">
        <v>24.380749425198601</v>
      </c>
      <c r="E173" s="38">
        <v>55.388948886507201</v>
      </c>
      <c r="F173" s="38" t="s">
        <v>12</v>
      </c>
      <c r="G173" s="38" t="s">
        <v>166</v>
      </c>
      <c r="H173" s="38"/>
      <c r="I173" s="38" t="s">
        <v>170</v>
      </c>
      <c r="J173" s="38" t="s">
        <v>23</v>
      </c>
      <c r="K173" s="61" t="s">
        <v>545</v>
      </c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7" t="s">
        <v>167</v>
      </c>
      <c r="AN173" s="49" t="s">
        <v>576</v>
      </c>
      <c r="AO173" s="37" t="s">
        <v>576</v>
      </c>
      <c r="AP173" s="50" t="s">
        <v>577</v>
      </c>
      <c r="AQ173" s="37" t="s">
        <v>167</v>
      </c>
      <c r="AR173" s="37" t="s">
        <v>596</v>
      </c>
      <c r="AS173" s="52" t="s">
        <v>582</v>
      </c>
      <c r="AT173" s="51" t="s">
        <v>583</v>
      </c>
      <c r="AU173" s="51" t="s">
        <v>576</v>
      </c>
      <c r="AV173" s="51" t="s">
        <v>576</v>
      </c>
      <c r="AW173" s="37" t="s">
        <v>597</v>
      </c>
      <c r="AX173" s="37" t="s">
        <v>597</v>
      </c>
      <c r="AY173" s="50" t="s">
        <v>580</v>
      </c>
      <c r="AZ173" s="50" t="s">
        <v>580</v>
      </c>
      <c r="BA173" s="37" t="s">
        <v>580</v>
      </c>
      <c r="BB173" s="37" t="s">
        <v>167</v>
      </c>
      <c r="BC173" s="37" t="s">
        <v>596</v>
      </c>
      <c r="BD173" s="37" t="s">
        <v>596</v>
      </c>
      <c r="BE173" s="37" t="s">
        <v>598</v>
      </c>
      <c r="BF173" s="37" t="s">
        <v>599</v>
      </c>
      <c r="BG173" s="39" t="b">
        <f t="shared" si="8"/>
        <v>1</v>
      </c>
      <c r="BH173" s="39" t="str">
        <f t="shared" si="9"/>
        <v>Inadequate Design Capacity</v>
      </c>
      <c r="BI173" s="39" t="b">
        <f t="shared" si="10"/>
        <v>0</v>
      </c>
      <c r="BJ173" t="str">
        <f t="shared" si="11"/>
        <v>CLIENT INPUT REQUIRED</v>
      </c>
      <c r="BK173" s="39" t="str">
        <f>IF(A173="","",IF(BI173&lt;&gt;TRUE(),"No specific plan",IF(ISNUMBER(BJ173),IF(BJ173&lt;'Exec Summary'!$C$4,"Resolved before Feb 2027","Resolved after Feb 2027"),"CLIENT INPUT REQUIRED")))</f>
        <v>No specific plan</v>
      </c>
    </row>
    <row r="174" spans="1:63" ht="27" customHeight="1" x14ac:dyDescent="0.25">
      <c r="A174" s="38">
        <v>171</v>
      </c>
      <c r="B174" s="38" t="s">
        <v>529</v>
      </c>
      <c r="C174" s="38" t="s">
        <v>546</v>
      </c>
      <c r="D174" s="38">
        <v>24.440252000000001</v>
      </c>
      <c r="E174" s="38">
        <v>55.212741000000001</v>
      </c>
      <c r="F174" s="38" t="s">
        <v>12</v>
      </c>
      <c r="G174" s="38" t="s">
        <v>166</v>
      </c>
      <c r="H174" s="38"/>
      <c r="I174" s="38" t="s">
        <v>170</v>
      </c>
      <c r="J174" s="38" t="s">
        <v>23</v>
      </c>
      <c r="K174" s="61" t="s">
        <v>547</v>
      </c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7" t="s">
        <v>167</v>
      </c>
      <c r="AN174" s="49" t="s">
        <v>576</v>
      </c>
      <c r="AO174" s="37" t="s">
        <v>576</v>
      </c>
      <c r="AP174" s="50" t="s">
        <v>577</v>
      </c>
      <c r="AQ174" s="37" t="s">
        <v>167</v>
      </c>
      <c r="AR174" s="37" t="s">
        <v>596</v>
      </c>
      <c r="AS174" s="52" t="s">
        <v>582</v>
      </c>
      <c r="AT174" s="51" t="s">
        <v>583</v>
      </c>
      <c r="AU174" s="51" t="s">
        <v>576</v>
      </c>
      <c r="AV174" s="51" t="s">
        <v>576</v>
      </c>
      <c r="AW174" s="37" t="s">
        <v>597</v>
      </c>
      <c r="AX174" s="37" t="s">
        <v>597</v>
      </c>
      <c r="AY174" s="50" t="s">
        <v>580</v>
      </c>
      <c r="AZ174" s="50" t="s">
        <v>580</v>
      </c>
      <c r="BA174" s="37" t="s">
        <v>580</v>
      </c>
      <c r="BB174" s="37" t="s">
        <v>167</v>
      </c>
      <c r="BC174" s="37" t="s">
        <v>596</v>
      </c>
      <c r="BD174" s="37" t="s">
        <v>596</v>
      </c>
      <c r="BE174" s="37" t="s">
        <v>598</v>
      </c>
      <c r="BF174" s="37" t="s">
        <v>599</v>
      </c>
      <c r="BG174" s="39" t="b">
        <f t="shared" si="8"/>
        <v>1</v>
      </c>
      <c r="BH174" s="39" t="str">
        <f t="shared" si="9"/>
        <v>Inadequate Design Capacity</v>
      </c>
      <c r="BI174" s="39" t="b">
        <f t="shared" si="10"/>
        <v>0</v>
      </c>
      <c r="BJ174" t="str">
        <f t="shared" si="11"/>
        <v>CLIENT INPUT REQUIRED</v>
      </c>
      <c r="BK174" s="39" t="str">
        <f>IF(A174="","",IF(BI174&lt;&gt;TRUE(),"No specific plan",IF(ISNUMBER(BJ174),IF(BJ174&lt;'Exec Summary'!$C$4,"Resolved before Feb 2027","Resolved after Feb 2027"),"CLIENT INPUT REQUIRED")))</f>
        <v>No specific plan</v>
      </c>
    </row>
    <row r="175" spans="1:63" ht="27" customHeight="1" x14ac:dyDescent="0.25">
      <c r="A175" s="38">
        <v>172</v>
      </c>
      <c r="B175" s="38" t="s">
        <v>529</v>
      </c>
      <c r="C175" s="38" t="s">
        <v>530</v>
      </c>
      <c r="D175" s="38">
        <v>24.467144984551901</v>
      </c>
      <c r="E175" s="38">
        <v>55.326379149075599</v>
      </c>
      <c r="F175" s="38" t="s">
        <v>12</v>
      </c>
      <c r="G175" s="38" t="s">
        <v>166</v>
      </c>
      <c r="H175" s="38"/>
      <c r="I175" s="38" t="s">
        <v>170</v>
      </c>
      <c r="J175" s="38" t="s">
        <v>23</v>
      </c>
      <c r="K175" s="61" t="s">
        <v>531</v>
      </c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7" t="s">
        <v>167</v>
      </c>
      <c r="AN175" s="49" t="s">
        <v>576</v>
      </c>
      <c r="AO175" s="37" t="s">
        <v>576</v>
      </c>
      <c r="AP175" s="50" t="s">
        <v>577</v>
      </c>
      <c r="AQ175" s="37" t="s">
        <v>167</v>
      </c>
      <c r="AR175" s="37" t="s">
        <v>596</v>
      </c>
      <c r="AS175" s="52" t="s">
        <v>582</v>
      </c>
      <c r="AT175" s="51" t="s">
        <v>583</v>
      </c>
      <c r="AU175" s="51" t="s">
        <v>576</v>
      </c>
      <c r="AV175" s="51" t="s">
        <v>576</v>
      </c>
      <c r="AW175" s="37" t="s">
        <v>597</v>
      </c>
      <c r="AX175" s="37" t="s">
        <v>597</v>
      </c>
      <c r="AY175" s="50" t="s">
        <v>580</v>
      </c>
      <c r="AZ175" s="50" t="s">
        <v>580</v>
      </c>
      <c r="BA175" s="37" t="s">
        <v>580</v>
      </c>
      <c r="BB175" s="37" t="s">
        <v>167</v>
      </c>
      <c r="BC175" s="37" t="s">
        <v>596</v>
      </c>
      <c r="BD175" s="37" t="s">
        <v>596</v>
      </c>
      <c r="BE175" s="37" t="s">
        <v>598</v>
      </c>
      <c r="BF175" s="37" t="s">
        <v>599</v>
      </c>
      <c r="BG175" s="39" t="b">
        <f t="shared" si="8"/>
        <v>1</v>
      </c>
      <c r="BH175" s="39" t="str">
        <f t="shared" si="9"/>
        <v>Inadequate Design Capacity</v>
      </c>
      <c r="BI175" s="39" t="b">
        <f t="shared" si="10"/>
        <v>0</v>
      </c>
      <c r="BJ175" t="str">
        <f t="shared" si="11"/>
        <v>CLIENT INPUT REQUIRED</v>
      </c>
      <c r="BK175" s="39" t="str">
        <f>IF(A175="","",IF(BI175&lt;&gt;TRUE(),"No specific plan",IF(ISNUMBER(BJ175),IF(BJ175&lt;'Exec Summary'!$C$4,"Resolved before Feb 2027","Resolved after Feb 2027"),"CLIENT INPUT REQUIRED")))</f>
        <v>No specific plan</v>
      </c>
    </row>
    <row r="176" spans="1:63" ht="27" customHeight="1" x14ac:dyDescent="0.25">
      <c r="A176" s="38">
        <v>173</v>
      </c>
      <c r="B176" s="38" t="s">
        <v>529</v>
      </c>
      <c r="C176" s="38" t="s">
        <v>548</v>
      </c>
      <c r="D176" s="38">
        <v>24.468171000000002</v>
      </c>
      <c r="E176" s="38">
        <v>55.328412999999998</v>
      </c>
      <c r="F176" s="38" t="s">
        <v>12</v>
      </c>
      <c r="G176" s="38" t="s">
        <v>166</v>
      </c>
      <c r="H176" s="38"/>
      <c r="I176" s="38" t="s">
        <v>170</v>
      </c>
      <c r="J176" s="38" t="s">
        <v>23</v>
      </c>
      <c r="K176" s="61" t="s">
        <v>549</v>
      </c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7" t="s">
        <v>167</v>
      </c>
      <c r="AN176" s="49" t="s">
        <v>576</v>
      </c>
      <c r="AO176" s="37" t="s">
        <v>576</v>
      </c>
      <c r="AP176" s="50" t="s">
        <v>577</v>
      </c>
      <c r="AQ176" s="37" t="s">
        <v>167</v>
      </c>
      <c r="AR176" s="37" t="s">
        <v>596</v>
      </c>
      <c r="AS176" s="52" t="s">
        <v>582</v>
      </c>
      <c r="AT176" s="51" t="s">
        <v>583</v>
      </c>
      <c r="AU176" s="51" t="s">
        <v>576</v>
      </c>
      <c r="AV176" s="51" t="s">
        <v>576</v>
      </c>
      <c r="AW176" s="37" t="s">
        <v>597</v>
      </c>
      <c r="AX176" s="37" t="s">
        <v>597</v>
      </c>
      <c r="AY176" s="50" t="s">
        <v>580</v>
      </c>
      <c r="AZ176" s="50" t="s">
        <v>580</v>
      </c>
      <c r="BA176" s="37" t="s">
        <v>580</v>
      </c>
      <c r="BB176" s="37" t="s">
        <v>167</v>
      </c>
      <c r="BC176" s="37" t="s">
        <v>596</v>
      </c>
      <c r="BD176" s="37" t="s">
        <v>596</v>
      </c>
      <c r="BE176" s="37" t="s">
        <v>598</v>
      </c>
      <c r="BF176" s="37" t="s">
        <v>599</v>
      </c>
      <c r="BG176" s="39" t="b">
        <f t="shared" si="8"/>
        <v>1</v>
      </c>
      <c r="BH176" s="39" t="str">
        <f t="shared" si="9"/>
        <v>Inadequate Design Capacity</v>
      </c>
      <c r="BI176" s="39" t="b">
        <f t="shared" si="10"/>
        <v>0</v>
      </c>
      <c r="BJ176" t="str">
        <f t="shared" si="11"/>
        <v>CLIENT INPUT REQUIRED</v>
      </c>
      <c r="BK176" s="39" t="str">
        <f>IF(A176="","",IF(BI176&lt;&gt;TRUE(),"No specific plan",IF(ISNUMBER(BJ176),IF(BJ176&lt;'Exec Summary'!$C$4,"Resolved before Feb 2027","Resolved after Feb 2027"),"CLIENT INPUT REQUIRED")))</f>
        <v>No specific plan</v>
      </c>
    </row>
    <row r="177" spans="1:63" ht="27" customHeight="1" x14ac:dyDescent="0.25">
      <c r="A177" s="38">
        <v>174</v>
      </c>
      <c r="B177" s="38" t="s">
        <v>529</v>
      </c>
      <c r="C177" s="38" t="s">
        <v>550</v>
      </c>
      <c r="D177" s="38" t="s">
        <v>551</v>
      </c>
      <c r="E177" s="38">
        <v>55.498936999999998</v>
      </c>
      <c r="F177" s="38" t="s">
        <v>12</v>
      </c>
      <c r="G177" s="38" t="s">
        <v>166</v>
      </c>
      <c r="H177" s="38"/>
      <c r="I177" s="38" t="s">
        <v>170</v>
      </c>
      <c r="J177" s="38" t="s">
        <v>23</v>
      </c>
      <c r="K177" s="61" t="s">
        <v>552</v>
      </c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7" t="s">
        <v>167</v>
      </c>
      <c r="AN177" s="49" t="s">
        <v>576</v>
      </c>
      <c r="AO177" s="37" t="s">
        <v>576</v>
      </c>
      <c r="AP177" s="50" t="s">
        <v>577</v>
      </c>
      <c r="AQ177" s="37" t="s">
        <v>167</v>
      </c>
      <c r="AR177" s="37" t="s">
        <v>596</v>
      </c>
      <c r="AS177" s="52" t="s">
        <v>582</v>
      </c>
      <c r="AT177" s="51" t="s">
        <v>583</v>
      </c>
      <c r="AU177" s="51" t="s">
        <v>576</v>
      </c>
      <c r="AV177" s="51" t="s">
        <v>576</v>
      </c>
      <c r="AW177" s="37" t="s">
        <v>597</v>
      </c>
      <c r="AX177" s="37" t="s">
        <v>597</v>
      </c>
      <c r="AY177" s="50" t="s">
        <v>580</v>
      </c>
      <c r="AZ177" s="50" t="s">
        <v>580</v>
      </c>
      <c r="BA177" s="37" t="s">
        <v>580</v>
      </c>
      <c r="BB177" s="37" t="s">
        <v>167</v>
      </c>
      <c r="BC177" s="37" t="s">
        <v>596</v>
      </c>
      <c r="BD177" s="37" t="s">
        <v>596</v>
      </c>
      <c r="BE177" s="37" t="s">
        <v>598</v>
      </c>
      <c r="BF177" s="37" t="s">
        <v>599</v>
      </c>
      <c r="BG177" s="39" t="b">
        <f t="shared" si="8"/>
        <v>1</v>
      </c>
      <c r="BH177" s="39" t="str">
        <f t="shared" si="9"/>
        <v>Inadequate Design Capacity</v>
      </c>
      <c r="BI177" s="39" t="b">
        <f t="shared" si="10"/>
        <v>0</v>
      </c>
      <c r="BJ177" t="str">
        <f t="shared" si="11"/>
        <v>CLIENT INPUT REQUIRED</v>
      </c>
      <c r="BK177" s="39" t="str">
        <f>IF(A177="","",IF(BI177&lt;&gt;TRUE(),"No specific plan",IF(ISNUMBER(BJ177),IF(BJ177&lt;'Exec Summary'!$C$4,"Resolved before Feb 2027","Resolved after Feb 2027"),"CLIENT INPUT REQUIRED")))</f>
        <v>No specific plan</v>
      </c>
    </row>
    <row r="178" spans="1:63" ht="27" customHeight="1" x14ac:dyDescent="0.25">
      <c r="A178" s="38">
        <v>175</v>
      </c>
      <c r="B178" s="38" t="s">
        <v>529</v>
      </c>
      <c r="C178" s="38" t="s">
        <v>553</v>
      </c>
      <c r="D178" s="38">
        <v>24.465714999999999</v>
      </c>
      <c r="E178" s="38">
        <v>55.340539999999997</v>
      </c>
      <c r="F178" s="38" t="s">
        <v>12</v>
      </c>
      <c r="G178" s="38" t="s">
        <v>166</v>
      </c>
      <c r="H178" s="38"/>
      <c r="I178" s="38" t="s">
        <v>167</v>
      </c>
      <c r="J178" s="38" t="s">
        <v>24</v>
      </c>
      <c r="K178" s="61" t="s">
        <v>554</v>
      </c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7" t="s">
        <v>167</v>
      </c>
      <c r="AN178" s="49" t="s">
        <v>576</v>
      </c>
      <c r="AO178" s="37" t="s">
        <v>576</v>
      </c>
      <c r="AP178" s="50" t="s">
        <v>577</v>
      </c>
      <c r="AQ178" s="37" t="s">
        <v>167</v>
      </c>
      <c r="AR178" s="37" t="s">
        <v>596</v>
      </c>
      <c r="AS178" s="51" t="s">
        <v>578</v>
      </c>
      <c r="AT178" s="51" t="s">
        <v>579</v>
      </c>
      <c r="AU178" s="51" t="s">
        <v>576</v>
      </c>
      <c r="AV178" s="51" t="s">
        <v>576</v>
      </c>
      <c r="AW178" s="37" t="s">
        <v>597</v>
      </c>
      <c r="AX178" s="37" t="s">
        <v>597</v>
      </c>
      <c r="AY178" s="50" t="s">
        <v>580</v>
      </c>
      <c r="AZ178" s="50" t="s">
        <v>580</v>
      </c>
      <c r="BA178" s="37" t="s">
        <v>580</v>
      </c>
      <c r="BB178" s="37" t="s">
        <v>167</v>
      </c>
      <c r="BC178" s="37" t="s">
        <v>596</v>
      </c>
      <c r="BD178" s="37" t="s">
        <v>596</v>
      </c>
      <c r="BE178" s="37" t="s">
        <v>598</v>
      </c>
      <c r="BF178" s="37" t="s">
        <v>599</v>
      </c>
      <c r="BG178" s="39" t="b">
        <f t="shared" si="8"/>
        <v>1</v>
      </c>
      <c r="BH178" s="39" t="str">
        <f t="shared" si="9"/>
        <v>Absence of Drainage Network</v>
      </c>
      <c r="BI178" s="39" t="b">
        <f t="shared" si="10"/>
        <v>0</v>
      </c>
      <c r="BJ178" t="str">
        <f t="shared" si="11"/>
        <v>CLIENT INPUT REQUIRED</v>
      </c>
      <c r="BK178" s="39" t="str">
        <f>IF(A178="","",IF(BI178&lt;&gt;TRUE(),"No specific plan",IF(ISNUMBER(BJ178),IF(BJ178&lt;'Exec Summary'!$C$4,"Resolved before Feb 2027","Resolved after Feb 2027"),"CLIENT INPUT REQUIRED")))</f>
        <v>No specific plan</v>
      </c>
    </row>
    <row r="179" spans="1:63" ht="27" customHeight="1" x14ac:dyDescent="0.25">
      <c r="A179" s="38">
        <v>176</v>
      </c>
      <c r="B179" s="38" t="s">
        <v>529</v>
      </c>
      <c r="C179" s="38" t="s">
        <v>555</v>
      </c>
      <c r="D179" s="38">
        <v>24.467884999999999</v>
      </c>
      <c r="E179" s="38">
        <v>55.329417999999997</v>
      </c>
      <c r="F179" s="38" t="s">
        <v>12</v>
      </c>
      <c r="G179" s="38" t="s">
        <v>166</v>
      </c>
      <c r="H179" s="38"/>
      <c r="I179" s="38" t="s">
        <v>167</v>
      </c>
      <c r="J179" s="38" t="s">
        <v>24</v>
      </c>
      <c r="K179" s="61" t="s">
        <v>556</v>
      </c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7" t="s">
        <v>167</v>
      </c>
      <c r="AN179" s="49" t="s">
        <v>576</v>
      </c>
      <c r="AO179" s="37" t="s">
        <v>576</v>
      </c>
      <c r="AP179" s="50" t="s">
        <v>577</v>
      </c>
      <c r="AQ179" s="37" t="s">
        <v>167</v>
      </c>
      <c r="AR179" s="37" t="s">
        <v>596</v>
      </c>
      <c r="AS179" s="51" t="s">
        <v>578</v>
      </c>
      <c r="AT179" s="51" t="s">
        <v>579</v>
      </c>
      <c r="AU179" s="51" t="s">
        <v>576</v>
      </c>
      <c r="AV179" s="51" t="s">
        <v>576</v>
      </c>
      <c r="AW179" s="37" t="s">
        <v>597</v>
      </c>
      <c r="AX179" s="37" t="s">
        <v>597</v>
      </c>
      <c r="AY179" s="50" t="s">
        <v>580</v>
      </c>
      <c r="AZ179" s="50" t="s">
        <v>580</v>
      </c>
      <c r="BA179" s="37" t="s">
        <v>580</v>
      </c>
      <c r="BB179" s="37" t="s">
        <v>167</v>
      </c>
      <c r="BC179" s="37" t="s">
        <v>596</v>
      </c>
      <c r="BD179" s="37" t="s">
        <v>596</v>
      </c>
      <c r="BE179" s="37" t="s">
        <v>598</v>
      </c>
      <c r="BF179" s="37" t="s">
        <v>599</v>
      </c>
      <c r="BG179" s="39" t="b">
        <f t="shared" si="8"/>
        <v>1</v>
      </c>
      <c r="BH179" s="39" t="str">
        <f t="shared" si="9"/>
        <v>Absence of Drainage Network</v>
      </c>
      <c r="BI179" s="39" t="b">
        <f t="shared" si="10"/>
        <v>0</v>
      </c>
      <c r="BJ179" t="str">
        <f t="shared" si="11"/>
        <v>CLIENT INPUT REQUIRED</v>
      </c>
      <c r="BK179" s="39" t="str">
        <f>IF(A179="","",IF(BI179&lt;&gt;TRUE(),"No specific plan",IF(ISNUMBER(BJ179),IF(BJ179&lt;'Exec Summary'!$C$4,"Resolved before Feb 2027","Resolved after Feb 2027"),"CLIENT INPUT REQUIRED")))</f>
        <v>No specific plan</v>
      </c>
    </row>
    <row r="180" spans="1:63" ht="27" customHeight="1" x14ac:dyDescent="0.25">
      <c r="A180" s="38">
        <v>177</v>
      </c>
      <c r="B180" s="38" t="s">
        <v>557</v>
      </c>
      <c r="C180" s="38" t="s">
        <v>558</v>
      </c>
      <c r="D180" s="38">
        <v>24.124869</v>
      </c>
      <c r="E180" s="38">
        <v>55.700702999999997</v>
      </c>
      <c r="F180" s="38" t="s">
        <v>12</v>
      </c>
      <c r="G180" s="38" t="s">
        <v>166</v>
      </c>
      <c r="H180" s="38"/>
      <c r="I180" s="38" t="s">
        <v>170</v>
      </c>
      <c r="J180" s="38" t="s">
        <v>23</v>
      </c>
      <c r="K180" s="61" t="s">
        <v>559</v>
      </c>
      <c r="L180" s="38"/>
      <c r="M180" s="38"/>
      <c r="N180" s="38"/>
      <c r="O180" s="38"/>
      <c r="P180" s="38">
        <v>1</v>
      </c>
      <c r="Q180" s="38"/>
      <c r="R180" s="38"/>
      <c r="S180" s="38"/>
      <c r="T180" s="38"/>
      <c r="U180" s="38"/>
      <c r="V180" s="38"/>
      <c r="W180" s="38"/>
      <c r="X180" s="38"/>
      <c r="Y180" s="38"/>
      <c r="Z180" s="38">
        <v>5000</v>
      </c>
      <c r="AA180" s="38">
        <v>8</v>
      </c>
      <c r="AB180" s="38">
        <v>40000</v>
      </c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7" t="s">
        <v>167</v>
      </c>
      <c r="AN180" s="49" t="s">
        <v>576</v>
      </c>
      <c r="AO180" s="37" t="s">
        <v>576</v>
      </c>
      <c r="AP180" s="50" t="s">
        <v>577</v>
      </c>
      <c r="AQ180" s="37" t="s">
        <v>167</v>
      </c>
      <c r="AR180" s="37" t="s">
        <v>596</v>
      </c>
      <c r="AS180" s="52" t="s">
        <v>582</v>
      </c>
      <c r="AT180" s="51" t="s">
        <v>583</v>
      </c>
      <c r="AU180" s="51" t="s">
        <v>576</v>
      </c>
      <c r="AV180" s="51" t="s">
        <v>576</v>
      </c>
      <c r="AW180" s="37" t="s">
        <v>597</v>
      </c>
      <c r="AX180" s="37" t="s">
        <v>597</v>
      </c>
      <c r="AY180" s="50" t="s">
        <v>580</v>
      </c>
      <c r="AZ180" s="50" t="s">
        <v>580</v>
      </c>
      <c r="BA180" s="37" t="s">
        <v>580</v>
      </c>
      <c r="BB180" s="37" t="s">
        <v>167</v>
      </c>
      <c r="BC180" s="37" t="s">
        <v>596</v>
      </c>
      <c r="BD180" s="37" t="s">
        <v>596</v>
      </c>
      <c r="BE180" s="37" t="s">
        <v>598</v>
      </c>
      <c r="BF180" s="37" t="s">
        <v>599</v>
      </c>
      <c r="BG180" s="39" t="b">
        <f t="shared" si="8"/>
        <v>1</v>
      </c>
      <c r="BH180" s="39" t="str">
        <f t="shared" si="9"/>
        <v>Inadequate Design Capacity</v>
      </c>
      <c r="BI180" s="39" t="b">
        <f t="shared" si="10"/>
        <v>0</v>
      </c>
      <c r="BJ180" t="str">
        <f t="shared" si="11"/>
        <v>CLIENT INPUT REQUIRED</v>
      </c>
      <c r="BK180" s="39" t="str">
        <f>IF(A180="","",IF(BI180&lt;&gt;TRUE(),"No specific plan",IF(ISNUMBER(BJ180),IF(BJ180&lt;'Exec Summary'!$C$4,"Resolved before Feb 2027","Resolved after Feb 2027"),"CLIENT INPUT REQUIRED")))</f>
        <v>No specific plan</v>
      </c>
    </row>
    <row r="181" spans="1:63" ht="27" customHeight="1" x14ac:dyDescent="0.25">
      <c r="A181" s="38">
        <v>178</v>
      </c>
      <c r="B181" s="38" t="s">
        <v>557</v>
      </c>
      <c r="C181" s="38" t="s">
        <v>560</v>
      </c>
      <c r="D181" s="38">
        <v>24.1275487140724</v>
      </c>
      <c r="E181" s="38">
        <v>55.682369298149702</v>
      </c>
      <c r="F181" s="38" t="s">
        <v>12</v>
      </c>
      <c r="G181" s="38" t="s">
        <v>166</v>
      </c>
      <c r="H181" s="38"/>
      <c r="I181" s="38" t="s">
        <v>170</v>
      </c>
      <c r="J181" s="38" t="s">
        <v>23</v>
      </c>
      <c r="K181" s="61" t="s">
        <v>561</v>
      </c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7" t="s">
        <v>167</v>
      </c>
      <c r="AN181" s="49" t="s">
        <v>576</v>
      </c>
      <c r="AO181" s="37" t="s">
        <v>576</v>
      </c>
      <c r="AP181" s="50" t="s">
        <v>577</v>
      </c>
      <c r="AQ181" s="37" t="s">
        <v>167</v>
      </c>
      <c r="AR181" s="37" t="s">
        <v>596</v>
      </c>
      <c r="AS181" s="52" t="s">
        <v>582</v>
      </c>
      <c r="AT181" s="51" t="s">
        <v>583</v>
      </c>
      <c r="AU181" s="51" t="s">
        <v>576</v>
      </c>
      <c r="AV181" s="51" t="s">
        <v>576</v>
      </c>
      <c r="AW181" s="37" t="s">
        <v>597</v>
      </c>
      <c r="AX181" s="37" t="s">
        <v>597</v>
      </c>
      <c r="AY181" s="50" t="s">
        <v>580</v>
      </c>
      <c r="AZ181" s="50" t="s">
        <v>580</v>
      </c>
      <c r="BA181" s="37" t="s">
        <v>580</v>
      </c>
      <c r="BB181" s="37" t="s">
        <v>167</v>
      </c>
      <c r="BC181" s="37" t="s">
        <v>596</v>
      </c>
      <c r="BD181" s="37" t="s">
        <v>596</v>
      </c>
      <c r="BE181" s="37" t="s">
        <v>598</v>
      </c>
      <c r="BF181" s="37" t="s">
        <v>599</v>
      </c>
      <c r="BG181" s="39" t="b">
        <f t="shared" si="8"/>
        <v>1</v>
      </c>
      <c r="BH181" s="39" t="str">
        <f t="shared" si="9"/>
        <v>Inadequate Design Capacity</v>
      </c>
      <c r="BI181" s="39" t="b">
        <f t="shared" si="10"/>
        <v>0</v>
      </c>
      <c r="BJ181" t="str">
        <f t="shared" si="11"/>
        <v>CLIENT INPUT REQUIRED</v>
      </c>
      <c r="BK181" s="39" t="str">
        <f>IF(A181="","",IF(BI181&lt;&gt;TRUE(),"No specific plan",IF(ISNUMBER(BJ181),IF(BJ181&lt;'Exec Summary'!$C$4,"Resolved before Feb 2027","Resolved after Feb 2027"),"CLIENT INPUT REQUIRED")))</f>
        <v>No specific plan</v>
      </c>
    </row>
    <row r="182" spans="1:63" ht="27" customHeight="1" x14ac:dyDescent="0.25">
      <c r="A182" s="38">
        <v>179</v>
      </c>
      <c r="B182" s="38" t="s">
        <v>557</v>
      </c>
      <c r="C182" s="38" t="s">
        <v>562</v>
      </c>
      <c r="D182" s="38">
        <v>24.127590000000001</v>
      </c>
      <c r="E182" s="38">
        <v>55.687855999999996</v>
      </c>
      <c r="F182" s="38" t="s">
        <v>12</v>
      </c>
      <c r="G182" s="38" t="s">
        <v>166</v>
      </c>
      <c r="H182" s="38"/>
      <c r="I182" s="38" t="s">
        <v>170</v>
      </c>
      <c r="J182" s="38" t="s">
        <v>23</v>
      </c>
      <c r="K182" s="61" t="s">
        <v>563</v>
      </c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7" t="s">
        <v>167</v>
      </c>
      <c r="AN182" s="49" t="s">
        <v>576</v>
      </c>
      <c r="AO182" s="37" t="s">
        <v>576</v>
      </c>
      <c r="AP182" s="50" t="s">
        <v>577</v>
      </c>
      <c r="AQ182" s="37" t="s">
        <v>167</v>
      </c>
      <c r="AR182" s="37" t="s">
        <v>596</v>
      </c>
      <c r="AS182" s="52" t="s">
        <v>582</v>
      </c>
      <c r="AT182" s="51" t="s">
        <v>583</v>
      </c>
      <c r="AU182" s="51" t="s">
        <v>576</v>
      </c>
      <c r="AV182" s="51" t="s">
        <v>576</v>
      </c>
      <c r="AW182" s="37" t="s">
        <v>597</v>
      </c>
      <c r="AX182" s="37" t="s">
        <v>597</v>
      </c>
      <c r="AY182" s="50" t="s">
        <v>580</v>
      </c>
      <c r="AZ182" s="50" t="s">
        <v>580</v>
      </c>
      <c r="BA182" s="37" t="s">
        <v>580</v>
      </c>
      <c r="BB182" s="37" t="s">
        <v>167</v>
      </c>
      <c r="BC182" s="37" t="s">
        <v>596</v>
      </c>
      <c r="BD182" s="37" t="s">
        <v>596</v>
      </c>
      <c r="BE182" s="37" t="s">
        <v>598</v>
      </c>
      <c r="BF182" s="37" t="s">
        <v>599</v>
      </c>
      <c r="BG182" s="39" t="b">
        <f t="shared" si="8"/>
        <v>1</v>
      </c>
      <c r="BH182" s="39" t="str">
        <f t="shared" si="9"/>
        <v>Inadequate Design Capacity</v>
      </c>
      <c r="BI182" s="39" t="b">
        <f t="shared" si="10"/>
        <v>0</v>
      </c>
      <c r="BJ182" t="str">
        <f t="shared" si="11"/>
        <v>CLIENT INPUT REQUIRED</v>
      </c>
      <c r="BK182" s="39" t="str">
        <f>IF(A182="","",IF(BI182&lt;&gt;TRUE(),"No specific plan",IF(ISNUMBER(BJ182),IF(BJ182&lt;'Exec Summary'!$C$4,"Resolved before Feb 2027","Resolved after Feb 2027"),"CLIENT INPUT REQUIRED")))</f>
        <v>No specific plan</v>
      </c>
    </row>
    <row r="183" spans="1:63" ht="27" customHeight="1" x14ac:dyDescent="0.25">
      <c r="A183" s="38">
        <v>180</v>
      </c>
      <c r="B183" s="38" t="s">
        <v>557</v>
      </c>
      <c r="C183" s="38" t="s">
        <v>564</v>
      </c>
      <c r="D183" s="38">
        <v>24.175585000000002</v>
      </c>
      <c r="E183" s="38">
        <v>55.695847000000001</v>
      </c>
      <c r="F183" s="38" t="s">
        <v>12</v>
      </c>
      <c r="G183" s="38" t="s">
        <v>166</v>
      </c>
      <c r="H183" s="38"/>
      <c r="I183" s="38" t="s">
        <v>170</v>
      </c>
      <c r="J183" s="38" t="s">
        <v>23</v>
      </c>
      <c r="K183" s="61" t="s">
        <v>565</v>
      </c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7" t="s">
        <v>167</v>
      </c>
      <c r="AN183" s="49" t="s">
        <v>576</v>
      </c>
      <c r="AO183" s="37" t="s">
        <v>576</v>
      </c>
      <c r="AP183" s="50" t="s">
        <v>577</v>
      </c>
      <c r="AQ183" s="37" t="s">
        <v>167</v>
      </c>
      <c r="AR183" s="37" t="s">
        <v>596</v>
      </c>
      <c r="AS183" s="52" t="s">
        <v>582</v>
      </c>
      <c r="AT183" s="51" t="s">
        <v>583</v>
      </c>
      <c r="AU183" s="51" t="s">
        <v>576</v>
      </c>
      <c r="AV183" s="51" t="s">
        <v>576</v>
      </c>
      <c r="AW183" s="37" t="s">
        <v>597</v>
      </c>
      <c r="AX183" s="37" t="s">
        <v>597</v>
      </c>
      <c r="AY183" s="50" t="s">
        <v>580</v>
      </c>
      <c r="AZ183" s="50" t="s">
        <v>580</v>
      </c>
      <c r="BA183" s="37" t="s">
        <v>580</v>
      </c>
      <c r="BB183" s="37" t="s">
        <v>167</v>
      </c>
      <c r="BC183" s="37" t="s">
        <v>596</v>
      </c>
      <c r="BD183" s="37" t="s">
        <v>596</v>
      </c>
      <c r="BE183" s="37" t="s">
        <v>598</v>
      </c>
      <c r="BF183" s="37" t="s">
        <v>599</v>
      </c>
      <c r="BG183" s="39" t="b">
        <f t="shared" si="8"/>
        <v>1</v>
      </c>
      <c r="BH183" s="39" t="str">
        <f t="shared" si="9"/>
        <v>Inadequate Design Capacity</v>
      </c>
      <c r="BI183" s="39" t="b">
        <f t="shared" si="10"/>
        <v>0</v>
      </c>
      <c r="BJ183" t="str">
        <f t="shared" si="11"/>
        <v>CLIENT INPUT REQUIRED</v>
      </c>
      <c r="BK183" s="39" t="str">
        <f>IF(A183="","",IF(BI183&lt;&gt;TRUE(),"No specific plan",IF(ISNUMBER(BJ183),IF(BJ183&lt;'Exec Summary'!$C$4,"Resolved before Feb 2027","Resolved after Feb 2027"),"CLIENT INPUT REQUIRED")))</f>
        <v>No specific plan</v>
      </c>
    </row>
    <row r="184" spans="1:63" ht="27" customHeight="1" x14ac:dyDescent="0.25">
      <c r="A184" s="38">
        <v>181</v>
      </c>
      <c r="B184" s="38" t="s">
        <v>557</v>
      </c>
      <c r="C184" s="38" t="s">
        <v>566</v>
      </c>
      <c r="D184" s="38">
        <v>24.117694</v>
      </c>
      <c r="E184" s="38">
        <v>55.704402000000002</v>
      </c>
      <c r="F184" s="38" t="s">
        <v>12</v>
      </c>
      <c r="G184" s="38" t="s">
        <v>166</v>
      </c>
      <c r="H184" s="38"/>
      <c r="I184" s="38" t="s">
        <v>167</v>
      </c>
      <c r="J184" s="38" t="s">
        <v>24</v>
      </c>
      <c r="K184" s="61" t="s">
        <v>567</v>
      </c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7" t="s">
        <v>170</v>
      </c>
      <c r="AN184" s="49" t="s">
        <v>581</v>
      </c>
      <c r="AO184" s="37" t="s">
        <v>581</v>
      </c>
      <c r="AP184" s="50" t="s">
        <v>577</v>
      </c>
      <c r="AQ184" s="37" t="s">
        <v>167</v>
      </c>
      <c r="AR184" s="37" t="s">
        <v>596</v>
      </c>
      <c r="AS184" s="52" t="s">
        <v>582</v>
      </c>
      <c r="AT184" s="51" t="s">
        <v>583</v>
      </c>
      <c r="AU184" s="52" t="s">
        <v>584</v>
      </c>
      <c r="AV184" s="51" t="s">
        <v>585</v>
      </c>
      <c r="AW184" s="37" t="s">
        <v>597</v>
      </c>
      <c r="AX184" s="37" t="s">
        <v>597</v>
      </c>
      <c r="AY184" s="53">
        <v>46388</v>
      </c>
      <c r="AZ184" s="53">
        <v>47088</v>
      </c>
      <c r="BA184" s="37" t="s">
        <v>600</v>
      </c>
      <c r="BB184" s="37" t="s">
        <v>170</v>
      </c>
      <c r="BC184" s="37" t="s">
        <v>596</v>
      </c>
      <c r="BD184" s="37" t="s">
        <v>596</v>
      </c>
      <c r="BE184" s="37" t="s">
        <v>598</v>
      </c>
      <c r="BF184" s="37" t="s">
        <v>599</v>
      </c>
      <c r="BG184" s="39" t="b">
        <f t="shared" si="8"/>
        <v>1</v>
      </c>
      <c r="BH184" s="39" t="str">
        <f t="shared" si="9"/>
        <v>Absence of Drainage Network</v>
      </c>
      <c r="BI184" s="39" t="b">
        <f t="shared" si="10"/>
        <v>0</v>
      </c>
      <c r="BJ184">
        <f t="shared" si="11"/>
        <v>47088</v>
      </c>
      <c r="BK184" s="39" t="str">
        <f>IF(A184="","",IF(BI184&lt;&gt;TRUE(),"No specific plan",IF(ISNUMBER(BJ184),IF(BJ184&lt;'Exec Summary'!$C$4,"Resolved before Feb 2027","Resolved after Feb 2027"),"CLIENT INPUT REQUIRED")))</f>
        <v>No specific plan</v>
      </c>
    </row>
    <row r="185" spans="1:63" ht="27" customHeight="1" x14ac:dyDescent="0.25">
      <c r="A185" s="38">
        <v>182</v>
      </c>
      <c r="B185" s="38" t="s">
        <v>557</v>
      </c>
      <c r="C185" s="38" t="s">
        <v>566</v>
      </c>
      <c r="D185" s="38" t="s">
        <v>568</v>
      </c>
      <c r="E185" s="38" t="s">
        <v>569</v>
      </c>
      <c r="F185" s="38" t="s">
        <v>12</v>
      </c>
      <c r="G185" s="38" t="s">
        <v>166</v>
      </c>
      <c r="H185" s="38"/>
      <c r="I185" s="38" t="s">
        <v>167</v>
      </c>
      <c r="J185" s="38" t="s">
        <v>24</v>
      </c>
      <c r="K185" s="61" t="s">
        <v>567</v>
      </c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7" t="s">
        <v>167</v>
      </c>
      <c r="AN185" s="49" t="s">
        <v>576</v>
      </c>
      <c r="AO185" s="37" t="s">
        <v>576</v>
      </c>
      <c r="AP185" s="50" t="s">
        <v>577</v>
      </c>
      <c r="AQ185" s="37" t="s">
        <v>167</v>
      </c>
      <c r="AR185" s="37" t="s">
        <v>596</v>
      </c>
      <c r="AS185" s="51" t="s">
        <v>578</v>
      </c>
      <c r="AT185" s="51" t="s">
        <v>579</v>
      </c>
      <c r="AU185" s="51" t="s">
        <v>576</v>
      </c>
      <c r="AV185" s="51" t="s">
        <v>576</v>
      </c>
      <c r="AW185" s="37" t="s">
        <v>597</v>
      </c>
      <c r="AX185" s="37" t="s">
        <v>597</v>
      </c>
      <c r="AY185" s="50" t="s">
        <v>580</v>
      </c>
      <c r="AZ185" s="50" t="s">
        <v>580</v>
      </c>
      <c r="BA185" s="37" t="s">
        <v>580</v>
      </c>
      <c r="BB185" s="37" t="s">
        <v>167</v>
      </c>
      <c r="BC185" s="37" t="s">
        <v>596</v>
      </c>
      <c r="BD185" s="37" t="s">
        <v>596</v>
      </c>
      <c r="BE185" s="37" t="s">
        <v>598</v>
      </c>
      <c r="BF185" s="37" t="s">
        <v>599</v>
      </c>
      <c r="BG185" s="39" t="b">
        <f t="shared" si="8"/>
        <v>1</v>
      </c>
      <c r="BH185" s="39" t="str">
        <f t="shared" si="9"/>
        <v>Absence of Drainage Network</v>
      </c>
      <c r="BI185" s="39" t="b">
        <f t="shared" si="10"/>
        <v>0</v>
      </c>
      <c r="BJ185" t="str">
        <f t="shared" si="11"/>
        <v>CLIENT INPUT REQUIRED</v>
      </c>
      <c r="BK185" s="39" t="str">
        <f>IF(A185="","",IF(BI185&lt;&gt;TRUE(),"No specific plan",IF(ISNUMBER(BJ185),IF(BJ185&lt;'Exec Summary'!$C$4,"Resolved before Feb 2027","Resolved after Feb 2027"),"CLIENT INPUT REQUIRED")))</f>
        <v>No specific plan</v>
      </c>
    </row>
    <row r="186" spans="1:63" ht="27" customHeight="1" x14ac:dyDescent="0.25">
      <c r="A186" s="38">
        <v>183</v>
      </c>
      <c r="B186" s="38" t="s">
        <v>557</v>
      </c>
      <c r="C186" s="38" t="s">
        <v>566</v>
      </c>
      <c r="D186" s="38" t="s">
        <v>570</v>
      </c>
      <c r="E186" s="38" t="s">
        <v>571</v>
      </c>
      <c r="F186" s="38" t="s">
        <v>12</v>
      </c>
      <c r="G186" s="38" t="s">
        <v>166</v>
      </c>
      <c r="H186" s="38"/>
      <c r="I186" s="38" t="s">
        <v>167</v>
      </c>
      <c r="J186" s="38" t="s">
        <v>24</v>
      </c>
      <c r="K186" s="61" t="s">
        <v>567</v>
      </c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7" t="s">
        <v>167</v>
      </c>
      <c r="AN186" s="49" t="s">
        <v>576</v>
      </c>
      <c r="AO186" s="37" t="s">
        <v>576</v>
      </c>
      <c r="AP186" s="50" t="s">
        <v>577</v>
      </c>
      <c r="AQ186" s="37" t="s">
        <v>167</v>
      </c>
      <c r="AR186" s="37" t="s">
        <v>596</v>
      </c>
      <c r="AS186" s="51" t="s">
        <v>578</v>
      </c>
      <c r="AT186" s="51" t="s">
        <v>579</v>
      </c>
      <c r="AU186" s="51" t="s">
        <v>576</v>
      </c>
      <c r="AV186" s="51" t="s">
        <v>576</v>
      </c>
      <c r="AW186" s="37" t="s">
        <v>597</v>
      </c>
      <c r="AX186" s="37" t="s">
        <v>597</v>
      </c>
      <c r="AY186" s="50" t="s">
        <v>580</v>
      </c>
      <c r="AZ186" s="50" t="s">
        <v>580</v>
      </c>
      <c r="BA186" s="37" t="s">
        <v>580</v>
      </c>
      <c r="BB186" s="37" t="s">
        <v>167</v>
      </c>
      <c r="BC186" s="37" t="s">
        <v>596</v>
      </c>
      <c r="BD186" s="37" t="s">
        <v>596</v>
      </c>
      <c r="BE186" s="37" t="s">
        <v>598</v>
      </c>
      <c r="BF186" s="37" t="s">
        <v>599</v>
      </c>
      <c r="BG186" s="39" t="b">
        <f t="shared" si="8"/>
        <v>1</v>
      </c>
      <c r="BH186" s="39" t="str">
        <f t="shared" si="9"/>
        <v>Absence of Drainage Network</v>
      </c>
      <c r="BI186" s="39" t="b">
        <f t="shared" si="10"/>
        <v>0</v>
      </c>
      <c r="BJ186" t="str">
        <f t="shared" si="11"/>
        <v>CLIENT INPUT REQUIRED</v>
      </c>
      <c r="BK186" s="39" t="str">
        <f>IF(A186="","",IF(BI186&lt;&gt;TRUE(),"No specific plan",IF(ISNUMBER(BJ186),IF(BJ186&lt;'Exec Summary'!$C$4,"Resolved before Feb 2027","Resolved after Feb 2027"),"CLIENT INPUT REQUIRED")))</f>
        <v>No specific plan</v>
      </c>
    </row>
    <row r="187" spans="1:63" ht="27" customHeight="1" x14ac:dyDescent="0.25">
      <c r="A187" s="38">
        <v>184</v>
      </c>
      <c r="B187" s="38" t="s">
        <v>557</v>
      </c>
      <c r="C187" s="38" t="s">
        <v>572</v>
      </c>
      <c r="D187" s="38">
        <v>24.128283</v>
      </c>
      <c r="E187" s="38">
        <v>55.725833000000002</v>
      </c>
      <c r="F187" s="38" t="s">
        <v>12</v>
      </c>
      <c r="G187" s="38" t="s">
        <v>235</v>
      </c>
      <c r="H187" s="38"/>
      <c r="I187" s="38" t="s">
        <v>170</v>
      </c>
      <c r="J187" s="38" t="s">
        <v>23</v>
      </c>
      <c r="K187" s="61" t="s">
        <v>573</v>
      </c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7" t="s">
        <v>167</v>
      </c>
      <c r="AN187" s="49" t="s">
        <v>576</v>
      </c>
      <c r="AO187" s="37" t="s">
        <v>576</v>
      </c>
      <c r="AP187" s="50" t="s">
        <v>577</v>
      </c>
      <c r="AQ187" s="37" t="s">
        <v>167</v>
      </c>
      <c r="AR187" s="37" t="s">
        <v>596</v>
      </c>
      <c r="AS187" s="52" t="s">
        <v>582</v>
      </c>
      <c r="AT187" s="51" t="s">
        <v>583</v>
      </c>
      <c r="AU187" s="51" t="s">
        <v>576</v>
      </c>
      <c r="AV187" s="51" t="s">
        <v>576</v>
      </c>
      <c r="AW187" s="37" t="s">
        <v>597</v>
      </c>
      <c r="AX187" s="37" t="s">
        <v>597</v>
      </c>
      <c r="AY187" s="50" t="s">
        <v>580</v>
      </c>
      <c r="AZ187" s="50" t="s">
        <v>580</v>
      </c>
      <c r="BA187" s="37" t="s">
        <v>580</v>
      </c>
      <c r="BB187" s="37" t="s">
        <v>167</v>
      </c>
      <c r="BC187" s="37" t="s">
        <v>596</v>
      </c>
      <c r="BD187" s="37" t="s">
        <v>596</v>
      </c>
      <c r="BE187" s="37" t="s">
        <v>598</v>
      </c>
      <c r="BF187" s="37" t="s">
        <v>599</v>
      </c>
      <c r="BG187" s="39" t="b">
        <f t="shared" si="8"/>
        <v>1</v>
      </c>
      <c r="BH187" s="39" t="str">
        <f t="shared" si="9"/>
        <v>Inadequate Design Capacity</v>
      </c>
      <c r="BI187" s="39" t="b">
        <f t="shared" si="10"/>
        <v>0</v>
      </c>
      <c r="BJ187" t="str">
        <f t="shared" si="11"/>
        <v>CLIENT INPUT REQUIRED</v>
      </c>
      <c r="BK187" s="39" t="str">
        <f>IF(A187="","",IF(BI187&lt;&gt;TRUE(),"No specific plan",IF(ISNUMBER(BJ187),IF(BJ187&lt;'Exec Summary'!$C$4,"Resolved before Feb 2027","Resolved after Feb 2027"),"CLIENT INPUT REQUIRED")))</f>
        <v>No specific plan</v>
      </c>
    </row>
    <row r="188" spans="1:63" ht="15" customHeight="1" x14ac:dyDescent="0.25">
      <c r="A188" s="40"/>
      <c r="BG188" s="39" t="str">
        <f t="shared" si="8"/>
        <v/>
      </c>
      <c r="BH188" s="39" t="str">
        <f t="shared" si="9"/>
        <v/>
      </c>
      <c r="BI188" s="39" t="str">
        <f t="shared" si="10"/>
        <v/>
      </c>
      <c r="BJ188" t="str">
        <f t="shared" si="11"/>
        <v/>
      </c>
      <c r="BK188" s="39" t="str">
        <f>IF(A188="","",IF(BI188&lt;&gt;TRUE(),"No specific plan",IF(ISNUMBER(BJ188),IF(BJ188&lt;'Exec Summary'!$C$4,"Resolved before Feb 2027","Resolved after Feb 2027"),"CLIENT INPUT REQUIRED")))</f>
        <v/>
      </c>
    </row>
    <row r="189" spans="1:63" ht="15" customHeight="1" x14ac:dyDescent="0.25">
      <c r="A189" s="40"/>
      <c r="BG189" s="39" t="str">
        <f t="shared" si="8"/>
        <v/>
      </c>
      <c r="BH189" s="39" t="str">
        <f t="shared" si="9"/>
        <v/>
      </c>
      <c r="BI189" s="39" t="str">
        <f t="shared" si="10"/>
        <v/>
      </c>
      <c r="BJ189" t="str">
        <f t="shared" si="11"/>
        <v/>
      </c>
      <c r="BK189" s="39" t="str">
        <f>IF(A189="","",IF(BI189&lt;&gt;TRUE(),"No specific plan",IF(ISNUMBER(BJ189),IF(BJ189&lt;'Exec Summary'!$C$4,"Resolved before Feb 2027","Resolved after Feb 2027"),"CLIENT INPUT REQUIRED")))</f>
        <v/>
      </c>
    </row>
    <row r="190" spans="1:63" ht="15" customHeight="1" x14ac:dyDescent="0.25">
      <c r="A190" s="40"/>
      <c r="BG190" s="39" t="str">
        <f t="shared" si="8"/>
        <v/>
      </c>
      <c r="BH190" s="39" t="str">
        <f t="shared" si="9"/>
        <v/>
      </c>
      <c r="BI190" s="39" t="str">
        <f t="shared" si="10"/>
        <v/>
      </c>
      <c r="BJ190" t="str">
        <f t="shared" si="11"/>
        <v/>
      </c>
      <c r="BK190" s="39" t="str">
        <f>IF(A190="","",IF(BI190&lt;&gt;TRUE(),"No specific plan",IF(ISNUMBER(BJ190),IF(BJ190&lt;'Exec Summary'!$C$4,"Resolved before Feb 2027","Resolved after Feb 2027"),"CLIENT INPUT REQUIRED")))</f>
        <v/>
      </c>
    </row>
    <row r="191" spans="1:63" ht="15" customHeight="1" x14ac:dyDescent="0.25">
      <c r="A191" s="40"/>
      <c r="BG191" s="39" t="str">
        <f t="shared" si="8"/>
        <v/>
      </c>
      <c r="BH191" s="39" t="str">
        <f t="shared" si="9"/>
        <v/>
      </c>
      <c r="BI191" s="39" t="str">
        <f t="shared" si="10"/>
        <v/>
      </c>
      <c r="BJ191" t="str">
        <f t="shared" si="11"/>
        <v/>
      </c>
      <c r="BK191" s="39" t="str">
        <f>IF(A191="","",IF(BI191&lt;&gt;TRUE(),"No specific plan",IF(ISNUMBER(BJ191),IF(BJ191&lt;'Exec Summary'!$C$4,"Resolved before Feb 2027","Resolved after Feb 2027"),"CLIENT INPUT REQUIRED")))</f>
        <v/>
      </c>
    </row>
    <row r="192" spans="1:63" ht="15" customHeight="1" x14ac:dyDescent="0.25">
      <c r="A192" s="40"/>
      <c r="BG192" s="39" t="str">
        <f t="shared" si="8"/>
        <v/>
      </c>
      <c r="BH192" s="39" t="str">
        <f t="shared" si="9"/>
        <v/>
      </c>
      <c r="BI192" s="39" t="str">
        <f t="shared" si="10"/>
        <v/>
      </c>
      <c r="BJ192" t="str">
        <f t="shared" si="11"/>
        <v/>
      </c>
      <c r="BK192" s="39" t="str">
        <f>IF(A192="","",IF(BI192&lt;&gt;TRUE(),"No specific plan",IF(ISNUMBER(BJ192),IF(BJ192&lt;'Exec Summary'!$C$4,"Resolved before Feb 2027","Resolved after Feb 2027"),"CLIENT INPUT REQUIRED")))</f>
        <v/>
      </c>
    </row>
    <row r="193" spans="1:63" ht="15" customHeight="1" x14ac:dyDescent="0.25">
      <c r="A193" s="40"/>
      <c r="BG193" s="39" t="str">
        <f t="shared" si="8"/>
        <v/>
      </c>
      <c r="BH193" s="39" t="str">
        <f t="shared" si="9"/>
        <v/>
      </c>
      <c r="BI193" s="39" t="str">
        <f t="shared" si="10"/>
        <v/>
      </c>
      <c r="BJ193" t="str">
        <f t="shared" si="11"/>
        <v/>
      </c>
      <c r="BK193" s="39" t="str">
        <f>IF(A193="","",IF(BI193&lt;&gt;TRUE(),"No specific plan",IF(ISNUMBER(BJ193),IF(BJ193&lt;'Exec Summary'!$C$4,"Resolved before Feb 2027","Resolved after Feb 2027"),"CLIENT INPUT REQUIRED")))</f>
        <v/>
      </c>
    </row>
    <row r="194" spans="1:63" ht="15" customHeight="1" x14ac:dyDescent="0.25">
      <c r="A194" s="40"/>
      <c r="BG194" s="39" t="str">
        <f t="shared" si="8"/>
        <v/>
      </c>
      <c r="BH194" s="39" t="str">
        <f t="shared" si="9"/>
        <v/>
      </c>
      <c r="BI194" s="39" t="str">
        <f t="shared" si="10"/>
        <v/>
      </c>
      <c r="BJ194" t="str">
        <f t="shared" si="11"/>
        <v/>
      </c>
      <c r="BK194" s="39" t="str">
        <f>IF(A194="","",IF(BI194&lt;&gt;TRUE(),"No specific plan",IF(ISNUMBER(BJ194),IF(BJ194&lt;'Exec Summary'!$C$4,"Resolved before Feb 2027","Resolved after Feb 2027"),"CLIENT INPUT REQUIRED")))</f>
        <v/>
      </c>
    </row>
    <row r="195" spans="1:63" ht="15" customHeight="1" x14ac:dyDescent="0.25">
      <c r="A195" s="40"/>
      <c r="BG195" s="39" t="str">
        <f t="shared" si="8"/>
        <v/>
      </c>
      <c r="BH195" s="39" t="str">
        <f t="shared" si="9"/>
        <v/>
      </c>
      <c r="BI195" s="39" t="str">
        <f t="shared" si="10"/>
        <v/>
      </c>
      <c r="BJ195" t="str">
        <f t="shared" si="11"/>
        <v/>
      </c>
      <c r="BK195" s="39" t="str">
        <f>IF(A195="","",IF(BI195&lt;&gt;TRUE(),"No specific plan",IF(ISNUMBER(BJ195),IF(BJ195&lt;'Exec Summary'!$C$4,"Resolved before Feb 2027","Resolved after Feb 2027"),"CLIENT INPUT REQUIRED")))</f>
        <v/>
      </c>
    </row>
    <row r="196" spans="1:63" ht="15" customHeight="1" x14ac:dyDescent="0.25">
      <c r="A196" s="40"/>
      <c r="BG196" s="39" t="str">
        <f t="shared" ref="BG196:BG259" si="12">IF(A196="","",AND(TRIM(G196&amp;"")&lt;&gt;"",UPPER(TRIM(G196&amp;""))&lt;&gt;"NO"))</f>
        <v/>
      </c>
      <c r="BH196" s="39" t="str">
        <f t="shared" ref="BH196:BH259" si="13">IF(J196="","",IF(ISNUMBER(SEARCH("absen",J196)),"Absence of Drainage Network",IF(OR(ISNUMBER(SEARCH("design",J196)),ISNUMBER(SEARCH("capacity",J196))),"Inadequate Design Capacity",IF(OR(ISNUMBER(SEARCH("upgrade",J196)),ISNUMBER(SEARCH("network",J196)),ISNUMBER(SEARCH("topog",J196)),ISNUMBER(SEARCH("road",J196))),"Topography &amp; Road Engineering","CHECK - map manually"))))</f>
        <v/>
      </c>
      <c r="BI196" s="39" t="str">
        <f t="shared" ref="BI196:BI259" si="14">IF(A196="","",AND(UPPER(TRIM(BF196&amp;""))="IDD",OR(TRIM(AN196&amp;"")&lt;&gt;"",TRIM(AY196&amp;"")&lt;&gt;"",TRIM(AZ196&amp;"")&lt;&gt;"")))</f>
        <v/>
      </c>
      <c r="BJ196" t="str">
        <f t="shared" ref="BJ196:BJ259" si="15">IF(A196="","",IF(ISNUMBER(AZ196),AZ196,"CLIENT INPUT REQUIRED"))</f>
        <v/>
      </c>
      <c r="BK196" s="39" t="str">
        <f>IF(A196="","",IF(BI196&lt;&gt;TRUE(),"No specific plan",IF(ISNUMBER(BJ196),IF(BJ196&lt;'Exec Summary'!$C$4,"Resolved before Feb 2027","Resolved after Feb 2027"),"CLIENT INPUT REQUIRED")))</f>
        <v/>
      </c>
    </row>
    <row r="197" spans="1:63" ht="15" customHeight="1" x14ac:dyDescent="0.25">
      <c r="A197" s="40"/>
      <c r="BG197" s="39" t="str">
        <f t="shared" si="12"/>
        <v/>
      </c>
      <c r="BH197" s="39" t="str">
        <f t="shared" si="13"/>
        <v/>
      </c>
      <c r="BI197" s="39" t="str">
        <f t="shared" si="14"/>
        <v/>
      </c>
      <c r="BJ197" t="str">
        <f t="shared" si="15"/>
        <v/>
      </c>
      <c r="BK197" s="39" t="str">
        <f>IF(A197="","",IF(BI197&lt;&gt;TRUE(),"No specific plan",IF(ISNUMBER(BJ197),IF(BJ197&lt;'Exec Summary'!$C$4,"Resolved before Feb 2027","Resolved after Feb 2027"),"CLIENT INPUT REQUIRED")))</f>
        <v/>
      </c>
    </row>
    <row r="198" spans="1:63" ht="15" customHeight="1" x14ac:dyDescent="0.25">
      <c r="A198" s="40"/>
      <c r="BG198" s="39" t="str">
        <f t="shared" si="12"/>
        <v/>
      </c>
      <c r="BH198" s="39" t="str">
        <f t="shared" si="13"/>
        <v/>
      </c>
      <c r="BI198" s="39" t="str">
        <f t="shared" si="14"/>
        <v/>
      </c>
      <c r="BJ198" t="str">
        <f t="shared" si="15"/>
        <v/>
      </c>
      <c r="BK198" s="39" t="str">
        <f>IF(A198="","",IF(BI198&lt;&gt;TRUE(),"No specific plan",IF(ISNUMBER(BJ198),IF(BJ198&lt;'Exec Summary'!$C$4,"Resolved before Feb 2027","Resolved after Feb 2027"),"CLIENT INPUT REQUIRED")))</f>
        <v/>
      </c>
    </row>
    <row r="199" spans="1:63" ht="15" customHeight="1" x14ac:dyDescent="0.25">
      <c r="A199" s="40"/>
      <c r="BG199" s="39" t="str">
        <f t="shared" si="12"/>
        <v/>
      </c>
      <c r="BH199" s="39" t="str">
        <f t="shared" si="13"/>
        <v/>
      </c>
      <c r="BI199" s="39" t="str">
        <f t="shared" si="14"/>
        <v/>
      </c>
      <c r="BJ199" t="str">
        <f t="shared" si="15"/>
        <v/>
      </c>
      <c r="BK199" s="39" t="str">
        <f>IF(A199="","",IF(BI199&lt;&gt;TRUE(),"No specific plan",IF(ISNUMBER(BJ199),IF(BJ199&lt;'Exec Summary'!$C$4,"Resolved before Feb 2027","Resolved after Feb 2027"),"CLIENT INPUT REQUIRED")))</f>
        <v/>
      </c>
    </row>
    <row r="200" spans="1:63" ht="15" customHeight="1" x14ac:dyDescent="0.25">
      <c r="A200" s="40"/>
      <c r="BG200" s="39" t="str">
        <f t="shared" si="12"/>
        <v/>
      </c>
      <c r="BH200" s="39" t="str">
        <f t="shared" si="13"/>
        <v/>
      </c>
      <c r="BI200" s="39" t="str">
        <f t="shared" si="14"/>
        <v/>
      </c>
      <c r="BJ200" t="str">
        <f t="shared" si="15"/>
        <v/>
      </c>
      <c r="BK200" s="39" t="str">
        <f>IF(A200="","",IF(BI200&lt;&gt;TRUE(),"No specific plan",IF(ISNUMBER(BJ200),IF(BJ200&lt;'Exec Summary'!$C$4,"Resolved before Feb 2027","Resolved after Feb 2027"),"CLIENT INPUT REQUIRED")))</f>
        <v/>
      </c>
    </row>
    <row r="201" spans="1:63" ht="15" customHeight="1" x14ac:dyDescent="0.25">
      <c r="A201" s="40"/>
      <c r="BG201" s="39" t="str">
        <f t="shared" si="12"/>
        <v/>
      </c>
      <c r="BH201" s="39" t="str">
        <f t="shared" si="13"/>
        <v/>
      </c>
      <c r="BI201" s="39" t="str">
        <f t="shared" si="14"/>
        <v/>
      </c>
      <c r="BJ201" t="str">
        <f t="shared" si="15"/>
        <v/>
      </c>
      <c r="BK201" s="39" t="str">
        <f>IF(A201="","",IF(BI201&lt;&gt;TRUE(),"No specific plan",IF(ISNUMBER(BJ201),IF(BJ201&lt;'Exec Summary'!$C$4,"Resolved before Feb 2027","Resolved after Feb 2027"),"CLIENT INPUT REQUIRED")))</f>
        <v/>
      </c>
    </row>
    <row r="202" spans="1:63" ht="15" customHeight="1" x14ac:dyDescent="0.25">
      <c r="A202" s="40"/>
      <c r="BG202" s="39" t="str">
        <f t="shared" si="12"/>
        <v/>
      </c>
      <c r="BH202" s="39" t="str">
        <f t="shared" si="13"/>
        <v/>
      </c>
      <c r="BI202" s="39" t="str">
        <f t="shared" si="14"/>
        <v/>
      </c>
      <c r="BJ202" t="str">
        <f t="shared" si="15"/>
        <v/>
      </c>
      <c r="BK202" s="39" t="str">
        <f>IF(A202="","",IF(BI202&lt;&gt;TRUE(),"No specific plan",IF(ISNUMBER(BJ202),IF(BJ202&lt;'Exec Summary'!$C$4,"Resolved before Feb 2027","Resolved after Feb 2027"),"CLIENT INPUT REQUIRED")))</f>
        <v/>
      </c>
    </row>
    <row r="203" spans="1:63" ht="15" customHeight="1" x14ac:dyDescent="0.25">
      <c r="A203" s="40"/>
      <c r="BG203" s="39" t="str">
        <f t="shared" si="12"/>
        <v/>
      </c>
      <c r="BH203" s="39" t="str">
        <f t="shared" si="13"/>
        <v/>
      </c>
      <c r="BI203" s="39" t="str">
        <f t="shared" si="14"/>
        <v/>
      </c>
      <c r="BJ203" t="str">
        <f t="shared" si="15"/>
        <v/>
      </c>
      <c r="BK203" s="39" t="str">
        <f>IF(A203="","",IF(BI203&lt;&gt;TRUE(),"No specific plan",IF(ISNUMBER(BJ203),IF(BJ203&lt;'Exec Summary'!$C$4,"Resolved before Feb 2027","Resolved after Feb 2027"),"CLIENT INPUT REQUIRED")))</f>
        <v/>
      </c>
    </row>
    <row r="204" spans="1:63" ht="15" customHeight="1" x14ac:dyDescent="0.25">
      <c r="A204" s="40"/>
      <c r="BG204" s="39" t="str">
        <f t="shared" si="12"/>
        <v/>
      </c>
      <c r="BH204" s="39" t="str">
        <f t="shared" si="13"/>
        <v/>
      </c>
      <c r="BI204" s="39" t="str">
        <f t="shared" si="14"/>
        <v/>
      </c>
      <c r="BJ204" t="str">
        <f t="shared" si="15"/>
        <v/>
      </c>
      <c r="BK204" s="39" t="str">
        <f>IF(A204="","",IF(BI204&lt;&gt;TRUE(),"No specific plan",IF(ISNUMBER(BJ204),IF(BJ204&lt;'Exec Summary'!$C$4,"Resolved before Feb 2027","Resolved after Feb 2027"),"CLIENT INPUT REQUIRED")))</f>
        <v/>
      </c>
    </row>
    <row r="205" spans="1:63" ht="15" customHeight="1" x14ac:dyDescent="0.25">
      <c r="A205" s="40"/>
      <c r="BG205" s="39" t="str">
        <f t="shared" si="12"/>
        <v/>
      </c>
      <c r="BH205" s="39" t="str">
        <f t="shared" si="13"/>
        <v/>
      </c>
      <c r="BI205" s="39" t="str">
        <f t="shared" si="14"/>
        <v/>
      </c>
      <c r="BJ205" t="str">
        <f t="shared" si="15"/>
        <v/>
      </c>
      <c r="BK205" s="39" t="str">
        <f>IF(A205="","",IF(BI205&lt;&gt;TRUE(),"No specific plan",IF(ISNUMBER(BJ205),IF(BJ205&lt;'Exec Summary'!$C$4,"Resolved before Feb 2027","Resolved after Feb 2027"),"CLIENT INPUT REQUIRED")))</f>
        <v/>
      </c>
    </row>
    <row r="206" spans="1:63" ht="15" customHeight="1" x14ac:dyDescent="0.25">
      <c r="A206" s="40"/>
      <c r="BG206" s="39" t="str">
        <f t="shared" si="12"/>
        <v/>
      </c>
      <c r="BH206" s="39" t="str">
        <f t="shared" si="13"/>
        <v/>
      </c>
      <c r="BI206" s="39" t="str">
        <f t="shared" si="14"/>
        <v/>
      </c>
      <c r="BJ206" t="str">
        <f t="shared" si="15"/>
        <v/>
      </c>
      <c r="BK206" s="39" t="str">
        <f>IF(A206="","",IF(BI206&lt;&gt;TRUE(),"No specific plan",IF(ISNUMBER(BJ206),IF(BJ206&lt;'Exec Summary'!$C$4,"Resolved before Feb 2027","Resolved after Feb 2027"),"CLIENT INPUT REQUIRED")))</f>
        <v/>
      </c>
    </row>
    <row r="207" spans="1:63" ht="15" customHeight="1" x14ac:dyDescent="0.25">
      <c r="A207" s="40"/>
      <c r="BG207" s="39" t="str">
        <f t="shared" si="12"/>
        <v/>
      </c>
      <c r="BH207" s="39" t="str">
        <f t="shared" si="13"/>
        <v/>
      </c>
      <c r="BI207" s="39" t="str">
        <f t="shared" si="14"/>
        <v/>
      </c>
      <c r="BJ207" t="str">
        <f t="shared" si="15"/>
        <v/>
      </c>
      <c r="BK207" s="39" t="str">
        <f>IF(A207="","",IF(BI207&lt;&gt;TRUE(),"No specific plan",IF(ISNUMBER(BJ207),IF(BJ207&lt;'Exec Summary'!$C$4,"Resolved before Feb 2027","Resolved after Feb 2027"),"CLIENT INPUT REQUIRED")))</f>
        <v/>
      </c>
    </row>
    <row r="208" spans="1:63" ht="15" customHeight="1" x14ac:dyDescent="0.25">
      <c r="A208" s="40"/>
      <c r="BG208" s="39" t="str">
        <f t="shared" si="12"/>
        <v/>
      </c>
      <c r="BH208" s="39" t="str">
        <f t="shared" si="13"/>
        <v/>
      </c>
      <c r="BI208" s="39" t="str">
        <f t="shared" si="14"/>
        <v/>
      </c>
      <c r="BJ208" t="str">
        <f t="shared" si="15"/>
        <v/>
      </c>
      <c r="BK208" s="39" t="str">
        <f>IF(A208="","",IF(BI208&lt;&gt;TRUE(),"No specific plan",IF(ISNUMBER(BJ208),IF(BJ208&lt;'Exec Summary'!$C$4,"Resolved before Feb 2027","Resolved after Feb 2027"),"CLIENT INPUT REQUIRED")))</f>
        <v/>
      </c>
    </row>
    <row r="209" spans="1:63" ht="15" customHeight="1" x14ac:dyDescent="0.25">
      <c r="A209" s="40"/>
      <c r="BG209" s="39" t="str">
        <f t="shared" si="12"/>
        <v/>
      </c>
      <c r="BH209" s="39" t="str">
        <f t="shared" si="13"/>
        <v/>
      </c>
      <c r="BI209" s="39" t="str">
        <f t="shared" si="14"/>
        <v/>
      </c>
      <c r="BJ209" t="str">
        <f t="shared" si="15"/>
        <v/>
      </c>
      <c r="BK209" s="39" t="str">
        <f>IF(A209="","",IF(BI209&lt;&gt;TRUE(),"No specific plan",IF(ISNUMBER(BJ209),IF(BJ209&lt;'Exec Summary'!$C$4,"Resolved before Feb 2027","Resolved after Feb 2027"),"CLIENT INPUT REQUIRED")))</f>
        <v/>
      </c>
    </row>
    <row r="210" spans="1:63" ht="15" customHeight="1" x14ac:dyDescent="0.25">
      <c r="A210" s="40"/>
      <c r="BG210" s="39" t="str">
        <f t="shared" si="12"/>
        <v/>
      </c>
      <c r="BH210" s="39" t="str">
        <f t="shared" si="13"/>
        <v/>
      </c>
      <c r="BI210" s="39" t="str">
        <f t="shared" si="14"/>
        <v/>
      </c>
      <c r="BJ210" t="str">
        <f t="shared" si="15"/>
        <v/>
      </c>
      <c r="BK210" s="39" t="str">
        <f>IF(A210="","",IF(BI210&lt;&gt;TRUE(),"No specific plan",IF(ISNUMBER(BJ210),IF(BJ210&lt;'Exec Summary'!$C$4,"Resolved before Feb 2027","Resolved after Feb 2027"),"CLIENT INPUT REQUIRED")))</f>
        <v/>
      </c>
    </row>
    <row r="211" spans="1:63" ht="15" customHeight="1" x14ac:dyDescent="0.25">
      <c r="A211" s="40"/>
      <c r="BG211" s="39" t="str">
        <f t="shared" si="12"/>
        <v/>
      </c>
      <c r="BH211" s="39" t="str">
        <f t="shared" si="13"/>
        <v/>
      </c>
      <c r="BI211" s="39" t="str">
        <f t="shared" si="14"/>
        <v/>
      </c>
      <c r="BJ211" t="str">
        <f t="shared" si="15"/>
        <v/>
      </c>
      <c r="BK211" s="39" t="str">
        <f>IF(A211="","",IF(BI211&lt;&gt;TRUE(),"No specific plan",IF(ISNUMBER(BJ211),IF(BJ211&lt;'Exec Summary'!$C$4,"Resolved before Feb 2027","Resolved after Feb 2027"),"CLIENT INPUT REQUIRED")))</f>
        <v/>
      </c>
    </row>
    <row r="212" spans="1:63" ht="15" customHeight="1" x14ac:dyDescent="0.25">
      <c r="A212" s="40"/>
      <c r="BG212" s="39" t="str">
        <f t="shared" si="12"/>
        <v/>
      </c>
      <c r="BH212" s="39" t="str">
        <f t="shared" si="13"/>
        <v/>
      </c>
      <c r="BI212" s="39" t="str">
        <f t="shared" si="14"/>
        <v/>
      </c>
      <c r="BJ212" t="str">
        <f t="shared" si="15"/>
        <v/>
      </c>
      <c r="BK212" s="39" t="str">
        <f>IF(A212="","",IF(BI212&lt;&gt;TRUE(),"No specific plan",IF(ISNUMBER(BJ212),IF(BJ212&lt;'Exec Summary'!$C$4,"Resolved before Feb 2027","Resolved after Feb 2027"),"CLIENT INPUT REQUIRED")))</f>
        <v/>
      </c>
    </row>
    <row r="213" spans="1:63" ht="15" customHeight="1" x14ac:dyDescent="0.25">
      <c r="A213" s="40"/>
      <c r="BG213" s="39" t="str">
        <f t="shared" si="12"/>
        <v/>
      </c>
      <c r="BH213" s="39" t="str">
        <f t="shared" si="13"/>
        <v/>
      </c>
      <c r="BI213" s="39" t="str">
        <f t="shared" si="14"/>
        <v/>
      </c>
      <c r="BJ213" t="str">
        <f t="shared" si="15"/>
        <v/>
      </c>
      <c r="BK213" s="39" t="str">
        <f>IF(A213="","",IF(BI213&lt;&gt;TRUE(),"No specific plan",IF(ISNUMBER(BJ213),IF(BJ213&lt;'Exec Summary'!$C$4,"Resolved before Feb 2027","Resolved after Feb 2027"),"CLIENT INPUT REQUIRED")))</f>
        <v/>
      </c>
    </row>
    <row r="214" spans="1:63" ht="15" customHeight="1" x14ac:dyDescent="0.25">
      <c r="A214" s="40"/>
      <c r="BG214" s="39" t="str">
        <f t="shared" si="12"/>
        <v/>
      </c>
      <c r="BH214" s="39" t="str">
        <f t="shared" si="13"/>
        <v/>
      </c>
      <c r="BI214" s="39" t="str">
        <f t="shared" si="14"/>
        <v/>
      </c>
      <c r="BJ214" t="str">
        <f t="shared" si="15"/>
        <v/>
      </c>
      <c r="BK214" s="39" t="str">
        <f>IF(A214="","",IF(BI214&lt;&gt;TRUE(),"No specific plan",IF(ISNUMBER(BJ214),IF(BJ214&lt;'Exec Summary'!$C$4,"Resolved before Feb 2027","Resolved after Feb 2027"),"CLIENT INPUT REQUIRED")))</f>
        <v/>
      </c>
    </row>
    <row r="215" spans="1:63" ht="15" customHeight="1" x14ac:dyDescent="0.25">
      <c r="A215" s="40"/>
      <c r="BG215" s="39" t="str">
        <f t="shared" si="12"/>
        <v/>
      </c>
      <c r="BH215" s="39" t="str">
        <f t="shared" si="13"/>
        <v/>
      </c>
      <c r="BI215" s="39" t="str">
        <f t="shared" si="14"/>
        <v/>
      </c>
      <c r="BJ215" t="str">
        <f t="shared" si="15"/>
        <v/>
      </c>
      <c r="BK215" s="39" t="str">
        <f>IF(A215="","",IF(BI215&lt;&gt;TRUE(),"No specific plan",IF(ISNUMBER(BJ215),IF(BJ215&lt;'Exec Summary'!$C$4,"Resolved before Feb 2027","Resolved after Feb 2027"),"CLIENT INPUT REQUIRED")))</f>
        <v/>
      </c>
    </row>
    <row r="216" spans="1:63" ht="15" customHeight="1" x14ac:dyDescent="0.25">
      <c r="A216" s="40"/>
      <c r="BG216" s="39" t="str">
        <f t="shared" si="12"/>
        <v/>
      </c>
      <c r="BH216" s="39" t="str">
        <f t="shared" si="13"/>
        <v/>
      </c>
      <c r="BI216" s="39" t="str">
        <f t="shared" si="14"/>
        <v/>
      </c>
      <c r="BJ216" t="str">
        <f t="shared" si="15"/>
        <v/>
      </c>
      <c r="BK216" s="39" t="str">
        <f>IF(A216="","",IF(BI216&lt;&gt;TRUE(),"No specific plan",IF(ISNUMBER(BJ216),IF(BJ216&lt;'Exec Summary'!$C$4,"Resolved before Feb 2027","Resolved after Feb 2027"),"CLIENT INPUT REQUIRED")))</f>
        <v/>
      </c>
    </row>
    <row r="217" spans="1:63" ht="15" customHeight="1" x14ac:dyDescent="0.25">
      <c r="A217" s="40"/>
      <c r="BG217" s="39" t="str">
        <f t="shared" si="12"/>
        <v/>
      </c>
      <c r="BH217" s="39" t="str">
        <f t="shared" si="13"/>
        <v/>
      </c>
      <c r="BI217" s="39" t="str">
        <f t="shared" si="14"/>
        <v/>
      </c>
      <c r="BJ217" t="str">
        <f t="shared" si="15"/>
        <v/>
      </c>
      <c r="BK217" s="39" t="str">
        <f>IF(A217="","",IF(BI217&lt;&gt;TRUE(),"No specific plan",IF(ISNUMBER(BJ217),IF(BJ217&lt;'Exec Summary'!$C$4,"Resolved before Feb 2027","Resolved after Feb 2027"),"CLIENT INPUT REQUIRED")))</f>
        <v/>
      </c>
    </row>
    <row r="218" spans="1:63" ht="15" customHeight="1" x14ac:dyDescent="0.25">
      <c r="A218" s="40"/>
      <c r="BG218" s="39" t="str">
        <f t="shared" si="12"/>
        <v/>
      </c>
      <c r="BH218" s="39" t="str">
        <f t="shared" si="13"/>
        <v/>
      </c>
      <c r="BI218" s="39" t="str">
        <f t="shared" si="14"/>
        <v/>
      </c>
      <c r="BJ218" t="str">
        <f t="shared" si="15"/>
        <v/>
      </c>
      <c r="BK218" s="39" t="str">
        <f>IF(A218="","",IF(BI218&lt;&gt;TRUE(),"No specific plan",IF(ISNUMBER(BJ218),IF(BJ218&lt;'Exec Summary'!$C$4,"Resolved before Feb 2027","Resolved after Feb 2027"),"CLIENT INPUT REQUIRED")))</f>
        <v/>
      </c>
    </row>
    <row r="219" spans="1:63" ht="15" customHeight="1" x14ac:dyDescent="0.25">
      <c r="A219" s="40"/>
      <c r="BG219" s="39" t="str">
        <f t="shared" si="12"/>
        <v/>
      </c>
      <c r="BH219" s="39" t="str">
        <f t="shared" si="13"/>
        <v/>
      </c>
      <c r="BI219" s="39" t="str">
        <f t="shared" si="14"/>
        <v/>
      </c>
      <c r="BJ219" t="str">
        <f t="shared" si="15"/>
        <v/>
      </c>
      <c r="BK219" s="39" t="str">
        <f>IF(A219="","",IF(BI219&lt;&gt;TRUE(),"No specific plan",IF(ISNUMBER(BJ219),IF(BJ219&lt;'Exec Summary'!$C$4,"Resolved before Feb 2027","Resolved after Feb 2027"),"CLIENT INPUT REQUIRED")))</f>
        <v/>
      </c>
    </row>
    <row r="220" spans="1:63" ht="15" customHeight="1" x14ac:dyDescent="0.25">
      <c r="A220" s="40"/>
      <c r="BG220" s="39" t="str">
        <f t="shared" si="12"/>
        <v/>
      </c>
      <c r="BH220" s="39" t="str">
        <f t="shared" si="13"/>
        <v/>
      </c>
      <c r="BI220" s="39" t="str">
        <f t="shared" si="14"/>
        <v/>
      </c>
      <c r="BJ220" t="str">
        <f t="shared" si="15"/>
        <v/>
      </c>
      <c r="BK220" s="39" t="str">
        <f>IF(A220="","",IF(BI220&lt;&gt;TRUE(),"No specific plan",IF(ISNUMBER(BJ220),IF(BJ220&lt;'Exec Summary'!$C$4,"Resolved before Feb 2027","Resolved after Feb 2027"),"CLIENT INPUT REQUIRED")))</f>
        <v/>
      </c>
    </row>
    <row r="221" spans="1:63" ht="15" customHeight="1" x14ac:dyDescent="0.25">
      <c r="A221" s="40"/>
      <c r="BG221" s="39" t="str">
        <f t="shared" si="12"/>
        <v/>
      </c>
      <c r="BH221" s="39" t="str">
        <f t="shared" si="13"/>
        <v/>
      </c>
      <c r="BI221" s="39" t="str">
        <f t="shared" si="14"/>
        <v/>
      </c>
      <c r="BJ221" t="str">
        <f t="shared" si="15"/>
        <v/>
      </c>
      <c r="BK221" s="39" t="str">
        <f>IF(A221="","",IF(BI221&lt;&gt;TRUE(),"No specific plan",IF(ISNUMBER(BJ221),IF(BJ221&lt;'Exec Summary'!$C$4,"Resolved before Feb 2027","Resolved after Feb 2027"),"CLIENT INPUT REQUIRED")))</f>
        <v/>
      </c>
    </row>
    <row r="222" spans="1:63" ht="15" customHeight="1" x14ac:dyDescent="0.25">
      <c r="A222" s="40"/>
      <c r="BG222" s="39" t="str">
        <f t="shared" si="12"/>
        <v/>
      </c>
      <c r="BH222" s="39" t="str">
        <f t="shared" si="13"/>
        <v/>
      </c>
      <c r="BI222" s="39" t="str">
        <f t="shared" si="14"/>
        <v/>
      </c>
      <c r="BJ222" t="str">
        <f t="shared" si="15"/>
        <v/>
      </c>
      <c r="BK222" s="39" t="str">
        <f>IF(A222="","",IF(BI222&lt;&gt;TRUE(),"No specific plan",IF(ISNUMBER(BJ222),IF(BJ222&lt;'Exec Summary'!$C$4,"Resolved before Feb 2027","Resolved after Feb 2027"),"CLIENT INPUT REQUIRED")))</f>
        <v/>
      </c>
    </row>
    <row r="223" spans="1:63" ht="15" customHeight="1" x14ac:dyDescent="0.25">
      <c r="A223" s="40"/>
      <c r="BG223" s="39" t="str">
        <f t="shared" si="12"/>
        <v/>
      </c>
      <c r="BH223" s="39" t="str">
        <f t="shared" si="13"/>
        <v/>
      </c>
      <c r="BI223" s="39" t="str">
        <f t="shared" si="14"/>
        <v/>
      </c>
      <c r="BJ223" t="str">
        <f t="shared" si="15"/>
        <v/>
      </c>
      <c r="BK223" s="39" t="str">
        <f>IF(A223="","",IF(BI223&lt;&gt;TRUE(),"No specific plan",IF(ISNUMBER(BJ223),IF(BJ223&lt;'Exec Summary'!$C$4,"Resolved before Feb 2027","Resolved after Feb 2027"),"CLIENT INPUT REQUIRED")))</f>
        <v/>
      </c>
    </row>
    <row r="224" spans="1:63" ht="15" customHeight="1" x14ac:dyDescent="0.25">
      <c r="A224" s="40"/>
      <c r="BG224" s="39" t="str">
        <f t="shared" si="12"/>
        <v/>
      </c>
      <c r="BH224" s="39" t="str">
        <f t="shared" si="13"/>
        <v/>
      </c>
      <c r="BI224" s="39" t="str">
        <f t="shared" si="14"/>
        <v/>
      </c>
      <c r="BJ224" t="str">
        <f t="shared" si="15"/>
        <v/>
      </c>
      <c r="BK224" s="39" t="str">
        <f>IF(A224="","",IF(BI224&lt;&gt;TRUE(),"No specific plan",IF(ISNUMBER(BJ224),IF(BJ224&lt;'Exec Summary'!$C$4,"Resolved before Feb 2027","Resolved after Feb 2027"),"CLIENT INPUT REQUIRED")))</f>
        <v/>
      </c>
    </row>
    <row r="225" spans="1:63" ht="15" customHeight="1" x14ac:dyDescent="0.25">
      <c r="A225" s="40"/>
      <c r="BG225" s="39" t="str">
        <f t="shared" si="12"/>
        <v/>
      </c>
      <c r="BH225" s="39" t="str">
        <f t="shared" si="13"/>
        <v/>
      </c>
      <c r="BI225" s="39" t="str">
        <f t="shared" si="14"/>
        <v/>
      </c>
      <c r="BJ225" t="str">
        <f t="shared" si="15"/>
        <v/>
      </c>
      <c r="BK225" s="39" t="str">
        <f>IF(A225="","",IF(BI225&lt;&gt;TRUE(),"No specific plan",IF(ISNUMBER(BJ225),IF(BJ225&lt;'Exec Summary'!$C$4,"Resolved before Feb 2027","Resolved after Feb 2027"),"CLIENT INPUT REQUIRED")))</f>
        <v/>
      </c>
    </row>
    <row r="226" spans="1:63" ht="15" customHeight="1" x14ac:dyDescent="0.25">
      <c r="A226" s="40"/>
      <c r="BG226" s="39" t="str">
        <f t="shared" si="12"/>
        <v/>
      </c>
      <c r="BH226" s="39" t="str">
        <f t="shared" si="13"/>
        <v/>
      </c>
      <c r="BI226" s="39" t="str">
        <f t="shared" si="14"/>
        <v/>
      </c>
      <c r="BJ226" t="str">
        <f t="shared" si="15"/>
        <v/>
      </c>
      <c r="BK226" s="39" t="str">
        <f>IF(A226="","",IF(BI226&lt;&gt;TRUE(),"No specific plan",IF(ISNUMBER(BJ226),IF(BJ226&lt;'Exec Summary'!$C$4,"Resolved before Feb 2027","Resolved after Feb 2027"),"CLIENT INPUT REQUIRED")))</f>
        <v/>
      </c>
    </row>
    <row r="227" spans="1:63" ht="15" customHeight="1" x14ac:dyDescent="0.25">
      <c r="A227" s="40"/>
      <c r="BG227" s="39" t="str">
        <f t="shared" si="12"/>
        <v/>
      </c>
      <c r="BH227" s="39" t="str">
        <f t="shared" si="13"/>
        <v/>
      </c>
      <c r="BI227" s="39" t="str">
        <f t="shared" si="14"/>
        <v/>
      </c>
      <c r="BJ227" t="str">
        <f t="shared" si="15"/>
        <v/>
      </c>
      <c r="BK227" s="39" t="str">
        <f>IF(A227="","",IF(BI227&lt;&gt;TRUE(),"No specific plan",IF(ISNUMBER(BJ227),IF(BJ227&lt;'Exec Summary'!$C$4,"Resolved before Feb 2027","Resolved after Feb 2027"),"CLIENT INPUT REQUIRED")))</f>
        <v/>
      </c>
    </row>
    <row r="228" spans="1:63" ht="15" customHeight="1" x14ac:dyDescent="0.25">
      <c r="A228" s="40"/>
      <c r="BG228" s="39" t="str">
        <f t="shared" si="12"/>
        <v/>
      </c>
      <c r="BH228" s="39" t="str">
        <f t="shared" si="13"/>
        <v/>
      </c>
      <c r="BI228" s="39" t="str">
        <f t="shared" si="14"/>
        <v/>
      </c>
      <c r="BJ228" t="str">
        <f t="shared" si="15"/>
        <v/>
      </c>
      <c r="BK228" s="39" t="str">
        <f>IF(A228="","",IF(BI228&lt;&gt;TRUE(),"No specific plan",IF(ISNUMBER(BJ228),IF(BJ228&lt;'Exec Summary'!$C$4,"Resolved before Feb 2027","Resolved after Feb 2027"),"CLIENT INPUT REQUIRED")))</f>
        <v/>
      </c>
    </row>
    <row r="229" spans="1:63" ht="15" customHeight="1" x14ac:dyDescent="0.25">
      <c r="A229" s="40"/>
      <c r="BG229" s="39" t="str">
        <f t="shared" si="12"/>
        <v/>
      </c>
      <c r="BH229" s="39" t="str">
        <f t="shared" si="13"/>
        <v/>
      </c>
      <c r="BI229" s="39" t="str">
        <f t="shared" si="14"/>
        <v/>
      </c>
      <c r="BJ229" t="str">
        <f t="shared" si="15"/>
        <v/>
      </c>
      <c r="BK229" s="39" t="str">
        <f>IF(A229="","",IF(BI229&lt;&gt;TRUE(),"No specific plan",IF(ISNUMBER(BJ229),IF(BJ229&lt;'Exec Summary'!$C$4,"Resolved before Feb 2027","Resolved after Feb 2027"),"CLIENT INPUT REQUIRED")))</f>
        <v/>
      </c>
    </row>
    <row r="230" spans="1:63" ht="15" customHeight="1" x14ac:dyDescent="0.25">
      <c r="A230" s="40"/>
      <c r="BG230" s="39" t="str">
        <f t="shared" si="12"/>
        <v/>
      </c>
      <c r="BH230" s="39" t="str">
        <f t="shared" si="13"/>
        <v/>
      </c>
      <c r="BI230" s="39" t="str">
        <f t="shared" si="14"/>
        <v/>
      </c>
      <c r="BJ230" t="str">
        <f t="shared" si="15"/>
        <v/>
      </c>
      <c r="BK230" s="39" t="str">
        <f>IF(A230="","",IF(BI230&lt;&gt;TRUE(),"No specific plan",IF(ISNUMBER(BJ230),IF(BJ230&lt;'Exec Summary'!$C$4,"Resolved before Feb 2027","Resolved after Feb 2027"),"CLIENT INPUT REQUIRED")))</f>
        <v/>
      </c>
    </row>
    <row r="231" spans="1:63" ht="15" customHeight="1" x14ac:dyDescent="0.25">
      <c r="A231" s="40"/>
      <c r="BG231" s="39" t="str">
        <f t="shared" si="12"/>
        <v/>
      </c>
      <c r="BH231" s="39" t="str">
        <f t="shared" si="13"/>
        <v/>
      </c>
      <c r="BI231" s="39" t="str">
        <f t="shared" si="14"/>
        <v/>
      </c>
      <c r="BJ231" t="str">
        <f t="shared" si="15"/>
        <v/>
      </c>
      <c r="BK231" s="39" t="str">
        <f>IF(A231="","",IF(BI231&lt;&gt;TRUE(),"No specific plan",IF(ISNUMBER(BJ231),IF(BJ231&lt;'Exec Summary'!$C$4,"Resolved before Feb 2027","Resolved after Feb 2027"),"CLIENT INPUT REQUIRED")))</f>
        <v/>
      </c>
    </row>
    <row r="232" spans="1:63" ht="15" customHeight="1" x14ac:dyDescent="0.25">
      <c r="A232" s="40"/>
      <c r="BG232" s="39" t="str">
        <f t="shared" si="12"/>
        <v/>
      </c>
      <c r="BH232" s="39" t="str">
        <f t="shared" si="13"/>
        <v/>
      </c>
      <c r="BI232" s="39" t="str">
        <f t="shared" si="14"/>
        <v/>
      </c>
      <c r="BJ232" t="str">
        <f t="shared" si="15"/>
        <v/>
      </c>
      <c r="BK232" s="39" t="str">
        <f>IF(A232="","",IF(BI232&lt;&gt;TRUE(),"No specific plan",IF(ISNUMBER(BJ232),IF(BJ232&lt;'Exec Summary'!$C$4,"Resolved before Feb 2027","Resolved after Feb 2027"),"CLIENT INPUT REQUIRED")))</f>
        <v/>
      </c>
    </row>
    <row r="233" spans="1:63" ht="15" customHeight="1" x14ac:dyDescent="0.25">
      <c r="A233" s="40"/>
      <c r="BG233" s="39" t="str">
        <f t="shared" si="12"/>
        <v/>
      </c>
      <c r="BH233" s="39" t="str">
        <f t="shared" si="13"/>
        <v/>
      </c>
      <c r="BI233" s="39" t="str">
        <f t="shared" si="14"/>
        <v/>
      </c>
      <c r="BJ233" t="str">
        <f t="shared" si="15"/>
        <v/>
      </c>
      <c r="BK233" s="39" t="str">
        <f>IF(A233="","",IF(BI233&lt;&gt;TRUE(),"No specific plan",IF(ISNUMBER(BJ233),IF(BJ233&lt;'Exec Summary'!$C$4,"Resolved before Feb 2027","Resolved after Feb 2027"),"CLIENT INPUT REQUIRED")))</f>
        <v/>
      </c>
    </row>
    <row r="234" spans="1:63" ht="15" customHeight="1" x14ac:dyDescent="0.25">
      <c r="A234" s="40"/>
      <c r="BG234" s="39" t="str">
        <f t="shared" si="12"/>
        <v/>
      </c>
      <c r="BH234" s="39" t="str">
        <f t="shared" si="13"/>
        <v/>
      </c>
      <c r="BI234" s="39" t="str">
        <f t="shared" si="14"/>
        <v/>
      </c>
      <c r="BJ234" t="str">
        <f t="shared" si="15"/>
        <v/>
      </c>
      <c r="BK234" s="39" t="str">
        <f>IF(A234="","",IF(BI234&lt;&gt;TRUE(),"No specific plan",IF(ISNUMBER(BJ234),IF(BJ234&lt;'Exec Summary'!$C$4,"Resolved before Feb 2027","Resolved after Feb 2027"),"CLIENT INPUT REQUIRED")))</f>
        <v/>
      </c>
    </row>
    <row r="235" spans="1:63" ht="15" customHeight="1" x14ac:dyDescent="0.25">
      <c r="A235" s="40"/>
      <c r="BG235" s="39" t="str">
        <f t="shared" si="12"/>
        <v/>
      </c>
      <c r="BH235" s="39" t="str">
        <f t="shared" si="13"/>
        <v/>
      </c>
      <c r="BI235" s="39" t="str">
        <f t="shared" si="14"/>
        <v/>
      </c>
      <c r="BJ235" t="str">
        <f t="shared" si="15"/>
        <v/>
      </c>
      <c r="BK235" s="39" t="str">
        <f>IF(A235="","",IF(BI235&lt;&gt;TRUE(),"No specific plan",IF(ISNUMBER(BJ235),IF(BJ235&lt;'Exec Summary'!$C$4,"Resolved before Feb 2027","Resolved after Feb 2027"),"CLIENT INPUT REQUIRED")))</f>
        <v/>
      </c>
    </row>
    <row r="236" spans="1:63" ht="15" customHeight="1" x14ac:dyDescent="0.25">
      <c r="A236" s="40"/>
      <c r="BG236" s="39" t="str">
        <f t="shared" si="12"/>
        <v/>
      </c>
      <c r="BH236" s="39" t="str">
        <f t="shared" si="13"/>
        <v/>
      </c>
      <c r="BI236" s="39" t="str">
        <f t="shared" si="14"/>
        <v/>
      </c>
      <c r="BJ236" t="str">
        <f t="shared" si="15"/>
        <v/>
      </c>
      <c r="BK236" s="39" t="str">
        <f>IF(A236="","",IF(BI236&lt;&gt;TRUE(),"No specific plan",IF(ISNUMBER(BJ236),IF(BJ236&lt;'Exec Summary'!$C$4,"Resolved before Feb 2027","Resolved after Feb 2027"),"CLIENT INPUT REQUIRED")))</f>
        <v/>
      </c>
    </row>
    <row r="237" spans="1:63" ht="15" customHeight="1" x14ac:dyDescent="0.25">
      <c r="A237" s="40"/>
      <c r="BG237" s="39" t="str">
        <f t="shared" si="12"/>
        <v/>
      </c>
      <c r="BH237" s="39" t="str">
        <f t="shared" si="13"/>
        <v/>
      </c>
      <c r="BI237" s="39" t="str">
        <f t="shared" si="14"/>
        <v/>
      </c>
      <c r="BJ237" t="str">
        <f t="shared" si="15"/>
        <v/>
      </c>
      <c r="BK237" s="39" t="str">
        <f>IF(A237="","",IF(BI237&lt;&gt;TRUE(),"No specific plan",IF(ISNUMBER(BJ237),IF(BJ237&lt;'Exec Summary'!$C$4,"Resolved before Feb 2027","Resolved after Feb 2027"),"CLIENT INPUT REQUIRED")))</f>
        <v/>
      </c>
    </row>
    <row r="238" spans="1:63" ht="15" customHeight="1" x14ac:dyDescent="0.25">
      <c r="A238" s="40"/>
      <c r="BG238" s="39" t="str">
        <f t="shared" si="12"/>
        <v/>
      </c>
      <c r="BH238" s="39" t="str">
        <f t="shared" si="13"/>
        <v/>
      </c>
      <c r="BI238" s="39" t="str">
        <f t="shared" si="14"/>
        <v/>
      </c>
      <c r="BJ238" t="str">
        <f t="shared" si="15"/>
        <v/>
      </c>
      <c r="BK238" s="39" t="str">
        <f>IF(A238="","",IF(BI238&lt;&gt;TRUE(),"No specific plan",IF(ISNUMBER(BJ238),IF(BJ238&lt;'Exec Summary'!$C$4,"Resolved before Feb 2027","Resolved after Feb 2027"),"CLIENT INPUT REQUIRED")))</f>
        <v/>
      </c>
    </row>
    <row r="239" spans="1:63" ht="15" customHeight="1" x14ac:dyDescent="0.25">
      <c r="A239" s="40"/>
      <c r="BG239" s="39" t="str">
        <f t="shared" si="12"/>
        <v/>
      </c>
      <c r="BH239" s="39" t="str">
        <f t="shared" si="13"/>
        <v/>
      </c>
      <c r="BI239" s="39" t="str">
        <f t="shared" si="14"/>
        <v/>
      </c>
      <c r="BJ239" t="str">
        <f t="shared" si="15"/>
        <v/>
      </c>
      <c r="BK239" s="39" t="str">
        <f>IF(A239="","",IF(BI239&lt;&gt;TRUE(),"No specific plan",IF(ISNUMBER(BJ239),IF(BJ239&lt;'Exec Summary'!$C$4,"Resolved before Feb 2027","Resolved after Feb 2027"),"CLIENT INPUT REQUIRED")))</f>
        <v/>
      </c>
    </row>
    <row r="240" spans="1:63" ht="15" customHeight="1" x14ac:dyDescent="0.25">
      <c r="A240" s="40"/>
      <c r="BG240" s="39" t="str">
        <f t="shared" si="12"/>
        <v/>
      </c>
      <c r="BH240" s="39" t="str">
        <f t="shared" si="13"/>
        <v/>
      </c>
      <c r="BI240" s="39" t="str">
        <f t="shared" si="14"/>
        <v/>
      </c>
      <c r="BJ240" t="str">
        <f t="shared" si="15"/>
        <v/>
      </c>
      <c r="BK240" s="39" t="str">
        <f>IF(A240="","",IF(BI240&lt;&gt;TRUE(),"No specific plan",IF(ISNUMBER(BJ240),IF(BJ240&lt;'Exec Summary'!$C$4,"Resolved before Feb 2027","Resolved after Feb 2027"),"CLIENT INPUT REQUIRED")))</f>
        <v/>
      </c>
    </row>
    <row r="241" spans="1:63" ht="15" customHeight="1" x14ac:dyDescent="0.25">
      <c r="A241" s="40"/>
      <c r="BG241" s="39" t="str">
        <f t="shared" si="12"/>
        <v/>
      </c>
      <c r="BH241" s="39" t="str">
        <f t="shared" si="13"/>
        <v/>
      </c>
      <c r="BI241" s="39" t="str">
        <f t="shared" si="14"/>
        <v/>
      </c>
      <c r="BJ241" t="str">
        <f t="shared" si="15"/>
        <v/>
      </c>
      <c r="BK241" s="39" t="str">
        <f>IF(A241="","",IF(BI241&lt;&gt;TRUE(),"No specific plan",IF(ISNUMBER(BJ241),IF(BJ241&lt;'Exec Summary'!$C$4,"Resolved before Feb 2027","Resolved after Feb 2027"),"CLIENT INPUT REQUIRED")))</f>
        <v/>
      </c>
    </row>
    <row r="242" spans="1:63" ht="15" customHeight="1" x14ac:dyDescent="0.25">
      <c r="A242" s="40"/>
      <c r="BG242" s="39" t="str">
        <f t="shared" si="12"/>
        <v/>
      </c>
      <c r="BH242" s="39" t="str">
        <f t="shared" si="13"/>
        <v/>
      </c>
      <c r="BI242" s="39" t="str">
        <f t="shared" si="14"/>
        <v/>
      </c>
      <c r="BJ242" t="str">
        <f t="shared" si="15"/>
        <v/>
      </c>
      <c r="BK242" s="39" t="str">
        <f>IF(A242="","",IF(BI242&lt;&gt;TRUE(),"No specific plan",IF(ISNUMBER(BJ242),IF(BJ242&lt;'Exec Summary'!$C$4,"Resolved before Feb 2027","Resolved after Feb 2027"),"CLIENT INPUT REQUIRED")))</f>
        <v/>
      </c>
    </row>
    <row r="243" spans="1:63" ht="15" customHeight="1" x14ac:dyDescent="0.25">
      <c r="A243" s="40"/>
      <c r="BG243" s="39" t="str">
        <f t="shared" si="12"/>
        <v/>
      </c>
      <c r="BH243" s="39" t="str">
        <f t="shared" si="13"/>
        <v/>
      </c>
      <c r="BI243" s="39" t="str">
        <f t="shared" si="14"/>
        <v/>
      </c>
      <c r="BJ243" t="str">
        <f t="shared" si="15"/>
        <v/>
      </c>
      <c r="BK243" s="39" t="str">
        <f>IF(A243="","",IF(BI243&lt;&gt;TRUE(),"No specific plan",IF(ISNUMBER(BJ243),IF(BJ243&lt;'Exec Summary'!$C$4,"Resolved before Feb 2027","Resolved after Feb 2027"),"CLIENT INPUT REQUIRED")))</f>
        <v/>
      </c>
    </row>
    <row r="244" spans="1:63" ht="15" customHeight="1" x14ac:dyDescent="0.25">
      <c r="A244" s="40"/>
      <c r="BG244" s="39" t="str">
        <f t="shared" si="12"/>
        <v/>
      </c>
      <c r="BH244" s="39" t="str">
        <f t="shared" si="13"/>
        <v/>
      </c>
      <c r="BI244" s="39" t="str">
        <f t="shared" si="14"/>
        <v/>
      </c>
      <c r="BJ244" t="str">
        <f t="shared" si="15"/>
        <v/>
      </c>
      <c r="BK244" s="39" t="str">
        <f>IF(A244="","",IF(BI244&lt;&gt;TRUE(),"No specific plan",IF(ISNUMBER(BJ244),IF(BJ244&lt;'Exec Summary'!$C$4,"Resolved before Feb 2027","Resolved after Feb 2027"),"CLIENT INPUT REQUIRED")))</f>
        <v/>
      </c>
    </row>
    <row r="245" spans="1:63" ht="15" customHeight="1" x14ac:dyDescent="0.25">
      <c r="A245" s="40"/>
      <c r="BG245" s="39" t="str">
        <f t="shared" si="12"/>
        <v/>
      </c>
      <c r="BH245" s="39" t="str">
        <f t="shared" si="13"/>
        <v/>
      </c>
      <c r="BI245" s="39" t="str">
        <f t="shared" si="14"/>
        <v/>
      </c>
      <c r="BJ245" t="str">
        <f t="shared" si="15"/>
        <v/>
      </c>
      <c r="BK245" s="39" t="str">
        <f>IF(A245="","",IF(BI245&lt;&gt;TRUE(),"No specific plan",IF(ISNUMBER(BJ245),IF(BJ245&lt;'Exec Summary'!$C$4,"Resolved before Feb 2027","Resolved after Feb 2027"),"CLIENT INPUT REQUIRED")))</f>
        <v/>
      </c>
    </row>
    <row r="246" spans="1:63" ht="15" customHeight="1" x14ac:dyDescent="0.25">
      <c r="A246" s="40"/>
      <c r="BG246" s="39" t="str">
        <f t="shared" si="12"/>
        <v/>
      </c>
      <c r="BH246" s="39" t="str">
        <f t="shared" si="13"/>
        <v/>
      </c>
      <c r="BI246" s="39" t="str">
        <f t="shared" si="14"/>
        <v/>
      </c>
      <c r="BJ246" t="str">
        <f t="shared" si="15"/>
        <v/>
      </c>
      <c r="BK246" s="39" t="str">
        <f>IF(A246="","",IF(BI246&lt;&gt;TRUE(),"No specific plan",IF(ISNUMBER(BJ246),IF(BJ246&lt;'Exec Summary'!$C$4,"Resolved before Feb 2027","Resolved after Feb 2027"),"CLIENT INPUT REQUIRED")))</f>
        <v/>
      </c>
    </row>
    <row r="247" spans="1:63" ht="15" customHeight="1" x14ac:dyDescent="0.25">
      <c r="A247" s="40"/>
      <c r="BG247" s="39" t="str">
        <f t="shared" si="12"/>
        <v/>
      </c>
      <c r="BH247" s="39" t="str">
        <f t="shared" si="13"/>
        <v/>
      </c>
      <c r="BI247" s="39" t="str">
        <f t="shared" si="14"/>
        <v/>
      </c>
      <c r="BJ247" t="str">
        <f t="shared" si="15"/>
        <v/>
      </c>
      <c r="BK247" s="39" t="str">
        <f>IF(A247="","",IF(BI247&lt;&gt;TRUE(),"No specific plan",IF(ISNUMBER(BJ247),IF(BJ247&lt;'Exec Summary'!$C$4,"Resolved before Feb 2027","Resolved after Feb 2027"),"CLIENT INPUT REQUIRED")))</f>
        <v/>
      </c>
    </row>
    <row r="248" spans="1:63" ht="15" customHeight="1" x14ac:dyDescent="0.25">
      <c r="A248" s="40"/>
      <c r="BG248" s="39" t="str">
        <f t="shared" si="12"/>
        <v/>
      </c>
      <c r="BH248" s="39" t="str">
        <f t="shared" si="13"/>
        <v/>
      </c>
      <c r="BI248" s="39" t="str">
        <f t="shared" si="14"/>
        <v/>
      </c>
      <c r="BJ248" t="str">
        <f t="shared" si="15"/>
        <v/>
      </c>
      <c r="BK248" s="39" t="str">
        <f>IF(A248="","",IF(BI248&lt;&gt;TRUE(),"No specific plan",IF(ISNUMBER(BJ248),IF(BJ248&lt;'Exec Summary'!$C$4,"Resolved before Feb 2027","Resolved after Feb 2027"),"CLIENT INPUT REQUIRED")))</f>
        <v/>
      </c>
    </row>
    <row r="249" spans="1:63" ht="15" customHeight="1" x14ac:dyDescent="0.25">
      <c r="A249" s="40"/>
      <c r="BG249" s="39" t="str">
        <f t="shared" si="12"/>
        <v/>
      </c>
      <c r="BH249" s="39" t="str">
        <f t="shared" si="13"/>
        <v/>
      </c>
      <c r="BI249" s="39" t="str">
        <f t="shared" si="14"/>
        <v/>
      </c>
      <c r="BJ249" t="str">
        <f t="shared" si="15"/>
        <v/>
      </c>
      <c r="BK249" s="39" t="str">
        <f>IF(A249="","",IF(BI249&lt;&gt;TRUE(),"No specific plan",IF(ISNUMBER(BJ249),IF(BJ249&lt;'Exec Summary'!$C$4,"Resolved before Feb 2027","Resolved after Feb 2027"),"CLIENT INPUT REQUIRED")))</f>
        <v/>
      </c>
    </row>
    <row r="250" spans="1:63" ht="15" customHeight="1" x14ac:dyDescent="0.25">
      <c r="A250" s="40"/>
      <c r="BG250" s="39" t="str">
        <f t="shared" si="12"/>
        <v/>
      </c>
      <c r="BH250" s="39" t="str">
        <f t="shared" si="13"/>
        <v/>
      </c>
      <c r="BI250" s="39" t="str">
        <f t="shared" si="14"/>
        <v/>
      </c>
      <c r="BJ250" t="str">
        <f t="shared" si="15"/>
        <v/>
      </c>
      <c r="BK250" s="39" t="str">
        <f>IF(A250="","",IF(BI250&lt;&gt;TRUE(),"No specific plan",IF(ISNUMBER(BJ250),IF(BJ250&lt;'Exec Summary'!$C$4,"Resolved before Feb 2027","Resolved after Feb 2027"),"CLIENT INPUT REQUIRED")))</f>
        <v/>
      </c>
    </row>
    <row r="251" spans="1:63" ht="15" customHeight="1" x14ac:dyDescent="0.25">
      <c r="A251" s="40"/>
      <c r="BG251" s="39" t="str">
        <f t="shared" si="12"/>
        <v/>
      </c>
      <c r="BH251" s="39" t="str">
        <f t="shared" si="13"/>
        <v/>
      </c>
      <c r="BI251" s="39" t="str">
        <f t="shared" si="14"/>
        <v/>
      </c>
      <c r="BJ251" t="str">
        <f t="shared" si="15"/>
        <v/>
      </c>
      <c r="BK251" s="39" t="str">
        <f>IF(A251="","",IF(BI251&lt;&gt;TRUE(),"No specific plan",IF(ISNUMBER(BJ251),IF(BJ251&lt;'Exec Summary'!$C$4,"Resolved before Feb 2027","Resolved after Feb 2027"),"CLIENT INPUT REQUIRED")))</f>
        <v/>
      </c>
    </row>
    <row r="252" spans="1:63" ht="15" customHeight="1" x14ac:dyDescent="0.25">
      <c r="A252" s="40"/>
      <c r="BG252" s="39" t="str">
        <f t="shared" si="12"/>
        <v/>
      </c>
      <c r="BH252" s="39" t="str">
        <f t="shared" si="13"/>
        <v/>
      </c>
      <c r="BI252" s="39" t="str">
        <f t="shared" si="14"/>
        <v/>
      </c>
      <c r="BJ252" t="str">
        <f t="shared" si="15"/>
        <v/>
      </c>
      <c r="BK252" s="39" t="str">
        <f>IF(A252="","",IF(BI252&lt;&gt;TRUE(),"No specific plan",IF(ISNUMBER(BJ252),IF(BJ252&lt;'Exec Summary'!$C$4,"Resolved before Feb 2027","Resolved after Feb 2027"),"CLIENT INPUT REQUIRED")))</f>
        <v/>
      </c>
    </row>
    <row r="253" spans="1:63" ht="15" customHeight="1" x14ac:dyDescent="0.25">
      <c r="A253" s="40"/>
      <c r="BG253" s="39" t="str">
        <f t="shared" si="12"/>
        <v/>
      </c>
      <c r="BH253" s="39" t="str">
        <f t="shared" si="13"/>
        <v/>
      </c>
      <c r="BI253" s="39" t="str">
        <f t="shared" si="14"/>
        <v/>
      </c>
      <c r="BJ253" t="str">
        <f t="shared" si="15"/>
        <v/>
      </c>
      <c r="BK253" s="39" t="str">
        <f>IF(A253="","",IF(BI253&lt;&gt;TRUE(),"No specific plan",IF(ISNUMBER(BJ253),IF(BJ253&lt;'Exec Summary'!$C$4,"Resolved before Feb 2027","Resolved after Feb 2027"),"CLIENT INPUT REQUIRED")))</f>
        <v/>
      </c>
    </row>
    <row r="254" spans="1:63" ht="15" customHeight="1" x14ac:dyDescent="0.25">
      <c r="A254" s="40"/>
      <c r="BG254" s="39" t="str">
        <f t="shared" si="12"/>
        <v/>
      </c>
      <c r="BH254" s="39" t="str">
        <f t="shared" si="13"/>
        <v/>
      </c>
      <c r="BI254" s="39" t="str">
        <f t="shared" si="14"/>
        <v/>
      </c>
      <c r="BJ254" t="str">
        <f t="shared" si="15"/>
        <v/>
      </c>
      <c r="BK254" s="39" t="str">
        <f>IF(A254="","",IF(BI254&lt;&gt;TRUE(),"No specific plan",IF(ISNUMBER(BJ254),IF(BJ254&lt;'Exec Summary'!$C$4,"Resolved before Feb 2027","Resolved after Feb 2027"),"CLIENT INPUT REQUIRED")))</f>
        <v/>
      </c>
    </row>
    <row r="255" spans="1:63" ht="15" customHeight="1" x14ac:dyDescent="0.25">
      <c r="A255" s="40"/>
      <c r="BG255" s="39" t="str">
        <f t="shared" si="12"/>
        <v/>
      </c>
      <c r="BH255" s="39" t="str">
        <f t="shared" si="13"/>
        <v/>
      </c>
      <c r="BI255" s="39" t="str">
        <f t="shared" si="14"/>
        <v/>
      </c>
      <c r="BJ255" t="str">
        <f t="shared" si="15"/>
        <v/>
      </c>
      <c r="BK255" s="39" t="str">
        <f>IF(A255="","",IF(BI255&lt;&gt;TRUE(),"No specific plan",IF(ISNUMBER(BJ255),IF(BJ255&lt;'Exec Summary'!$C$4,"Resolved before Feb 2027","Resolved after Feb 2027"),"CLIENT INPUT REQUIRED")))</f>
        <v/>
      </c>
    </row>
    <row r="256" spans="1:63" ht="15" customHeight="1" x14ac:dyDescent="0.25">
      <c r="A256" s="40"/>
      <c r="BG256" s="39" t="str">
        <f t="shared" si="12"/>
        <v/>
      </c>
      <c r="BH256" s="39" t="str">
        <f t="shared" si="13"/>
        <v/>
      </c>
      <c r="BI256" s="39" t="str">
        <f t="shared" si="14"/>
        <v/>
      </c>
      <c r="BJ256" t="str">
        <f t="shared" si="15"/>
        <v/>
      </c>
      <c r="BK256" s="39" t="str">
        <f>IF(A256="","",IF(BI256&lt;&gt;TRUE(),"No specific plan",IF(ISNUMBER(BJ256),IF(BJ256&lt;'Exec Summary'!$C$4,"Resolved before Feb 2027","Resolved after Feb 2027"),"CLIENT INPUT REQUIRED")))</f>
        <v/>
      </c>
    </row>
    <row r="257" spans="1:63" ht="15" customHeight="1" x14ac:dyDescent="0.25">
      <c r="A257" s="40"/>
      <c r="BG257" s="39" t="str">
        <f t="shared" si="12"/>
        <v/>
      </c>
      <c r="BH257" s="39" t="str">
        <f t="shared" si="13"/>
        <v/>
      </c>
      <c r="BI257" s="39" t="str">
        <f t="shared" si="14"/>
        <v/>
      </c>
      <c r="BJ257" t="str">
        <f t="shared" si="15"/>
        <v/>
      </c>
      <c r="BK257" s="39" t="str">
        <f>IF(A257="","",IF(BI257&lt;&gt;TRUE(),"No specific plan",IF(ISNUMBER(BJ257),IF(BJ257&lt;'Exec Summary'!$C$4,"Resolved before Feb 2027","Resolved after Feb 2027"),"CLIENT INPUT REQUIRED")))</f>
        <v/>
      </c>
    </row>
    <row r="258" spans="1:63" ht="15" customHeight="1" x14ac:dyDescent="0.25">
      <c r="A258" s="40"/>
      <c r="BG258" s="39" t="str">
        <f t="shared" si="12"/>
        <v/>
      </c>
      <c r="BH258" s="39" t="str">
        <f t="shared" si="13"/>
        <v/>
      </c>
      <c r="BI258" s="39" t="str">
        <f t="shared" si="14"/>
        <v/>
      </c>
      <c r="BJ258" t="str">
        <f t="shared" si="15"/>
        <v/>
      </c>
      <c r="BK258" s="39" t="str">
        <f>IF(A258="","",IF(BI258&lt;&gt;TRUE(),"No specific plan",IF(ISNUMBER(BJ258),IF(BJ258&lt;'Exec Summary'!$C$4,"Resolved before Feb 2027","Resolved after Feb 2027"),"CLIENT INPUT REQUIRED")))</f>
        <v/>
      </c>
    </row>
    <row r="259" spans="1:63" ht="15" customHeight="1" x14ac:dyDescent="0.25">
      <c r="A259" s="40"/>
      <c r="BG259" s="39" t="str">
        <f t="shared" si="12"/>
        <v/>
      </c>
      <c r="BH259" s="39" t="str">
        <f t="shared" si="13"/>
        <v/>
      </c>
      <c r="BI259" s="39" t="str">
        <f t="shared" si="14"/>
        <v/>
      </c>
      <c r="BJ259" t="str">
        <f t="shared" si="15"/>
        <v/>
      </c>
      <c r="BK259" s="39" t="str">
        <f>IF(A259="","",IF(BI259&lt;&gt;TRUE(),"No specific plan",IF(ISNUMBER(BJ259),IF(BJ259&lt;'Exec Summary'!$C$4,"Resolved before Feb 2027","Resolved after Feb 2027"),"CLIENT INPUT REQUIRED")))</f>
        <v/>
      </c>
    </row>
    <row r="260" spans="1:63" ht="15" customHeight="1" x14ac:dyDescent="0.25">
      <c r="A260" s="40"/>
      <c r="BG260" s="39" t="str">
        <f t="shared" ref="BG260:BG323" si="16">IF(A260="","",AND(TRIM(G260&amp;"")&lt;&gt;"",UPPER(TRIM(G260&amp;""))&lt;&gt;"NO"))</f>
        <v/>
      </c>
      <c r="BH260" s="39" t="str">
        <f t="shared" ref="BH260:BH323" si="17">IF(J260="","",IF(ISNUMBER(SEARCH("absen",J260)),"Absence of Drainage Network",IF(OR(ISNUMBER(SEARCH("design",J260)),ISNUMBER(SEARCH("capacity",J260))),"Inadequate Design Capacity",IF(OR(ISNUMBER(SEARCH("upgrade",J260)),ISNUMBER(SEARCH("network",J260)),ISNUMBER(SEARCH("topog",J260)),ISNUMBER(SEARCH("road",J260))),"Topography &amp; Road Engineering","CHECK - map manually"))))</f>
        <v/>
      </c>
      <c r="BI260" s="39" t="str">
        <f t="shared" ref="BI260:BI323" si="18">IF(A260="","",AND(UPPER(TRIM(BF260&amp;""))="IDD",OR(TRIM(AN260&amp;"")&lt;&gt;"",TRIM(AY260&amp;"")&lt;&gt;"",TRIM(AZ260&amp;"")&lt;&gt;"")))</f>
        <v/>
      </c>
      <c r="BJ260" t="str">
        <f t="shared" ref="BJ260:BJ323" si="19">IF(A260="","",IF(ISNUMBER(AZ260),AZ260,"CLIENT INPUT REQUIRED"))</f>
        <v/>
      </c>
      <c r="BK260" s="39" t="str">
        <f>IF(A260="","",IF(BI260&lt;&gt;TRUE(),"No specific plan",IF(ISNUMBER(BJ260),IF(BJ260&lt;'Exec Summary'!$C$4,"Resolved before Feb 2027","Resolved after Feb 2027"),"CLIENT INPUT REQUIRED")))</f>
        <v/>
      </c>
    </row>
    <row r="261" spans="1:63" ht="15" customHeight="1" x14ac:dyDescent="0.25">
      <c r="A261" s="40"/>
      <c r="BG261" s="39" t="str">
        <f t="shared" si="16"/>
        <v/>
      </c>
      <c r="BH261" s="39" t="str">
        <f t="shared" si="17"/>
        <v/>
      </c>
      <c r="BI261" s="39" t="str">
        <f t="shared" si="18"/>
        <v/>
      </c>
      <c r="BJ261" t="str">
        <f t="shared" si="19"/>
        <v/>
      </c>
      <c r="BK261" s="39" t="str">
        <f>IF(A261="","",IF(BI261&lt;&gt;TRUE(),"No specific plan",IF(ISNUMBER(BJ261),IF(BJ261&lt;'Exec Summary'!$C$4,"Resolved before Feb 2027","Resolved after Feb 2027"),"CLIENT INPUT REQUIRED")))</f>
        <v/>
      </c>
    </row>
    <row r="262" spans="1:63" ht="15" customHeight="1" x14ac:dyDescent="0.25">
      <c r="A262" s="40"/>
      <c r="BG262" s="39" t="str">
        <f t="shared" si="16"/>
        <v/>
      </c>
      <c r="BH262" s="39" t="str">
        <f t="shared" si="17"/>
        <v/>
      </c>
      <c r="BI262" s="39" t="str">
        <f t="shared" si="18"/>
        <v/>
      </c>
      <c r="BJ262" t="str">
        <f t="shared" si="19"/>
        <v/>
      </c>
      <c r="BK262" s="39" t="str">
        <f>IF(A262="","",IF(BI262&lt;&gt;TRUE(),"No specific plan",IF(ISNUMBER(BJ262),IF(BJ262&lt;'Exec Summary'!$C$4,"Resolved before Feb 2027","Resolved after Feb 2027"),"CLIENT INPUT REQUIRED")))</f>
        <v/>
      </c>
    </row>
    <row r="263" spans="1:63" ht="15" customHeight="1" x14ac:dyDescent="0.25">
      <c r="A263" s="40"/>
      <c r="BG263" s="39" t="str">
        <f t="shared" si="16"/>
        <v/>
      </c>
      <c r="BH263" s="39" t="str">
        <f t="shared" si="17"/>
        <v/>
      </c>
      <c r="BI263" s="39" t="str">
        <f t="shared" si="18"/>
        <v/>
      </c>
      <c r="BJ263" t="str">
        <f t="shared" si="19"/>
        <v/>
      </c>
      <c r="BK263" s="39" t="str">
        <f>IF(A263="","",IF(BI263&lt;&gt;TRUE(),"No specific plan",IF(ISNUMBER(BJ263),IF(BJ263&lt;'Exec Summary'!$C$4,"Resolved before Feb 2027","Resolved after Feb 2027"),"CLIENT INPUT REQUIRED")))</f>
        <v/>
      </c>
    </row>
    <row r="264" spans="1:63" ht="15" customHeight="1" x14ac:dyDescent="0.25">
      <c r="A264" s="40"/>
      <c r="BG264" s="39" t="str">
        <f t="shared" si="16"/>
        <v/>
      </c>
      <c r="BH264" s="39" t="str">
        <f t="shared" si="17"/>
        <v/>
      </c>
      <c r="BI264" s="39" t="str">
        <f t="shared" si="18"/>
        <v/>
      </c>
      <c r="BJ264" t="str">
        <f t="shared" si="19"/>
        <v/>
      </c>
      <c r="BK264" s="39" t="str">
        <f>IF(A264="","",IF(BI264&lt;&gt;TRUE(),"No specific plan",IF(ISNUMBER(BJ264),IF(BJ264&lt;'Exec Summary'!$C$4,"Resolved before Feb 2027","Resolved after Feb 2027"),"CLIENT INPUT REQUIRED")))</f>
        <v/>
      </c>
    </row>
    <row r="265" spans="1:63" ht="15" customHeight="1" x14ac:dyDescent="0.25">
      <c r="A265" s="40"/>
      <c r="BG265" s="39" t="str">
        <f t="shared" si="16"/>
        <v/>
      </c>
      <c r="BH265" s="39" t="str">
        <f t="shared" si="17"/>
        <v/>
      </c>
      <c r="BI265" s="39" t="str">
        <f t="shared" si="18"/>
        <v/>
      </c>
      <c r="BJ265" t="str">
        <f t="shared" si="19"/>
        <v/>
      </c>
      <c r="BK265" s="39" t="str">
        <f>IF(A265="","",IF(BI265&lt;&gt;TRUE(),"No specific plan",IF(ISNUMBER(BJ265),IF(BJ265&lt;'Exec Summary'!$C$4,"Resolved before Feb 2027","Resolved after Feb 2027"),"CLIENT INPUT REQUIRED")))</f>
        <v/>
      </c>
    </row>
    <row r="266" spans="1:63" ht="15" customHeight="1" x14ac:dyDescent="0.25">
      <c r="A266" s="40"/>
      <c r="BG266" s="39" t="str">
        <f t="shared" si="16"/>
        <v/>
      </c>
      <c r="BH266" s="39" t="str">
        <f t="shared" si="17"/>
        <v/>
      </c>
      <c r="BI266" s="39" t="str">
        <f t="shared" si="18"/>
        <v/>
      </c>
      <c r="BJ266" t="str">
        <f t="shared" si="19"/>
        <v/>
      </c>
      <c r="BK266" s="39" t="str">
        <f>IF(A266="","",IF(BI266&lt;&gt;TRUE(),"No specific plan",IF(ISNUMBER(BJ266),IF(BJ266&lt;'Exec Summary'!$C$4,"Resolved before Feb 2027","Resolved after Feb 2027"),"CLIENT INPUT REQUIRED")))</f>
        <v/>
      </c>
    </row>
    <row r="267" spans="1:63" ht="15" customHeight="1" x14ac:dyDescent="0.25">
      <c r="A267" s="40"/>
      <c r="BG267" s="39" t="str">
        <f t="shared" si="16"/>
        <v/>
      </c>
      <c r="BH267" s="39" t="str">
        <f t="shared" si="17"/>
        <v/>
      </c>
      <c r="BI267" s="39" t="str">
        <f t="shared" si="18"/>
        <v/>
      </c>
      <c r="BJ267" t="str">
        <f t="shared" si="19"/>
        <v/>
      </c>
      <c r="BK267" s="39" t="str">
        <f>IF(A267="","",IF(BI267&lt;&gt;TRUE(),"No specific plan",IF(ISNUMBER(BJ267),IF(BJ267&lt;'Exec Summary'!$C$4,"Resolved before Feb 2027","Resolved after Feb 2027"),"CLIENT INPUT REQUIRED")))</f>
        <v/>
      </c>
    </row>
    <row r="268" spans="1:63" ht="15" customHeight="1" x14ac:dyDescent="0.25">
      <c r="A268" s="40"/>
      <c r="BG268" s="39" t="str">
        <f t="shared" si="16"/>
        <v/>
      </c>
      <c r="BH268" s="39" t="str">
        <f t="shared" si="17"/>
        <v/>
      </c>
      <c r="BI268" s="39" t="str">
        <f t="shared" si="18"/>
        <v/>
      </c>
      <c r="BJ268" t="str">
        <f t="shared" si="19"/>
        <v/>
      </c>
      <c r="BK268" s="39" t="str">
        <f>IF(A268="","",IF(BI268&lt;&gt;TRUE(),"No specific plan",IF(ISNUMBER(BJ268),IF(BJ268&lt;'Exec Summary'!$C$4,"Resolved before Feb 2027","Resolved after Feb 2027"),"CLIENT INPUT REQUIRED")))</f>
        <v/>
      </c>
    </row>
    <row r="269" spans="1:63" ht="15" customHeight="1" x14ac:dyDescent="0.25">
      <c r="A269" s="40"/>
      <c r="BG269" s="39" t="str">
        <f t="shared" si="16"/>
        <v/>
      </c>
      <c r="BH269" s="39" t="str">
        <f t="shared" si="17"/>
        <v/>
      </c>
      <c r="BI269" s="39" t="str">
        <f t="shared" si="18"/>
        <v/>
      </c>
      <c r="BJ269" t="str">
        <f t="shared" si="19"/>
        <v/>
      </c>
      <c r="BK269" s="39" t="str">
        <f>IF(A269="","",IF(BI269&lt;&gt;TRUE(),"No specific plan",IF(ISNUMBER(BJ269),IF(BJ269&lt;'Exec Summary'!$C$4,"Resolved before Feb 2027","Resolved after Feb 2027"),"CLIENT INPUT REQUIRED")))</f>
        <v/>
      </c>
    </row>
    <row r="270" spans="1:63" ht="15" customHeight="1" x14ac:dyDescent="0.25">
      <c r="A270" s="40"/>
      <c r="BG270" s="39" t="str">
        <f t="shared" si="16"/>
        <v/>
      </c>
      <c r="BH270" s="39" t="str">
        <f t="shared" si="17"/>
        <v/>
      </c>
      <c r="BI270" s="39" t="str">
        <f t="shared" si="18"/>
        <v/>
      </c>
      <c r="BJ270" t="str">
        <f t="shared" si="19"/>
        <v/>
      </c>
      <c r="BK270" s="39" t="str">
        <f>IF(A270="","",IF(BI270&lt;&gt;TRUE(),"No specific plan",IF(ISNUMBER(BJ270),IF(BJ270&lt;'Exec Summary'!$C$4,"Resolved before Feb 2027","Resolved after Feb 2027"),"CLIENT INPUT REQUIRED")))</f>
        <v/>
      </c>
    </row>
    <row r="271" spans="1:63" ht="15" customHeight="1" x14ac:dyDescent="0.25">
      <c r="A271" s="40"/>
      <c r="BG271" s="39" t="str">
        <f t="shared" si="16"/>
        <v/>
      </c>
      <c r="BH271" s="39" t="str">
        <f t="shared" si="17"/>
        <v/>
      </c>
      <c r="BI271" s="39" t="str">
        <f t="shared" si="18"/>
        <v/>
      </c>
      <c r="BJ271" t="str">
        <f t="shared" si="19"/>
        <v/>
      </c>
      <c r="BK271" s="39" t="str">
        <f>IF(A271="","",IF(BI271&lt;&gt;TRUE(),"No specific plan",IF(ISNUMBER(BJ271),IF(BJ271&lt;'Exec Summary'!$C$4,"Resolved before Feb 2027","Resolved after Feb 2027"),"CLIENT INPUT REQUIRED")))</f>
        <v/>
      </c>
    </row>
    <row r="272" spans="1:63" ht="15" customHeight="1" x14ac:dyDescent="0.25">
      <c r="A272" s="40"/>
      <c r="BG272" s="39" t="str">
        <f t="shared" si="16"/>
        <v/>
      </c>
      <c r="BH272" s="39" t="str">
        <f t="shared" si="17"/>
        <v/>
      </c>
      <c r="BI272" s="39" t="str">
        <f t="shared" si="18"/>
        <v/>
      </c>
      <c r="BJ272" t="str">
        <f t="shared" si="19"/>
        <v/>
      </c>
      <c r="BK272" s="39" t="str">
        <f>IF(A272="","",IF(BI272&lt;&gt;TRUE(),"No specific plan",IF(ISNUMBER(BJ272),IF(BJ272&lt;'Exec Summary'!$C$4,"Resolved before Feb 2027","Resolved after Feb 2027"),"CLIENT INPUT REQUIRED")))</f>
        <v/>
      </c>
    </row>
    <row r="273" spans="1:63" ht="15" customHeight="1" x14ac:dyDescent="0.25">
      <c r="A273" s="40"/>
      <c r="BG273" s="39" t="str">
        <f t="shared" si="16"/>
        <v/>
      </c>
      <c r="BH273" s="39" t="str">
        <f t="shared" si="17"/>
        <v/>
      </c>
      <c r="BI273" s="39" t="str">
        <f t="shared" si="18"/>
        <v/>
      </c>
      <c r="BJ273" t="str">
        <f t="shared" si="19"/>
        <v/>
      </c>
      <c r="BK273" s="39" t="str">
        <f>IF(A273="","",IF(BI273&lt;&gt;TRUE(),"No specific plan",IF(ISNUMBER(BJ273),IF(BJ273&lt;'Exec Summary'!$C$4,"Resolved before Feb 2027","Resolved after Feb 2027"),"CLIENT INPUT REQUIRED")))</f>
        <v/>
      </c>
    </row>
    <row r="274" spans="1:63" ht="15" customHeight="1" x14ac:dyDescent="0.25">
      <c r="A274" s="40"/>
      <c r="BG274" s="39" t="str">
        <f t="shared" si="16"/>
        <v/>
      </c>
      <c r="BH274" s="39" t="str">
        <f t="shared" si="17"/>
        <v/>
      </c>
      <c r="BI274" s="39" t="str">
        <f t="shared" si="18"/>
        <v/>
      </c>
      <c r="BJ274" t="str">
        <f t="shared" si="19"/>
        <v/>
      </c>
      <c r="BK274" s="39" t="str">
        <f>IF(A274="","",IF(BI274&lt;&gt;TRUE(),"No specific plan",IF(ISNUMBER(BJ274),IF(BJ274&lt;'Exec Summary'!$C$4,"Resolved before Feb 2027","Resolved after Feb 2027"),"CLIENT INPUT REQUIRED")))</f>
        <v/>
      </c>
    </row>
    <row r="275" spans="1:63" ht="15" customHeight="1" x14ac:dyDescent="0.25">
      <c r="A275" s="40"/>
      <c r="BG275" s="39" t="str">
        <f t="shared" si="16"/>
        <v/>
      </c>
      <c r="BH275" s="39" t="str">
        <f t="shared" si="17"/>
        <v/>
      </c>
      <c r="BI275" s="39" t="str">
        <f t="shared" si="18"/>
        <v/>
      </c>
      <c r="BJ275" t="str">
        <f t="shared" si="19"/>
        <v/>
      </c>
      <c r="BK275" s="39" t="str">
        <f>IF(A275="","",IF(BI275&lt;&gt;TRUE(),"No specific plan",IF(ISNUMBER(BJ275),IF(BJ275&lt;'Exec Summary'!$C$4,"Resolved before Feb 2027","Resolved after Feb 2027"),"CLIENT INPUT REQUIRED")))</f>
        <v/>
      </c>
    </row>
    <row r="276" spans="1:63" ht="15" customHeight="1" x14ac:dyDescent="0.25">
      <c r="A276" s="40"/>
      <c r="BG276" s="39" t="str">
        <f t="shared" si="16"/>
        <v/>
      </c>
      <c r="BH276" s="39" t="str">
        <f t="shared" si="17"/>
        <v/>
      </c>
      <c r="BI276" s="39" t="str">
        <f t="shared" si="18"/>
        <v/>
      </c>
      <c r="BJ276" t="str">
        <f t="shared" si="19"/>
        <v/>
      </c>
      <c r="BK276" s="39" t="str">
        <f>IF(A276="","",IF(BI276&lt;&gt;TRUE(),"No specific plan",IF(ISNUMBER(BJ276),IF(BJ276&lt;'Exec Summary'!$C$4,"Resolved before Feb 2027","Resolved after Feb 2027"),"CLIENT INPUT REQUIRED")))</f>
        <v/>
      </c>
    </row>
    <row r="277" spans="1:63" ht="15" customHeight="1" x14ac:dyDescent="0.25">
      <c r="A277" s="40"/>
      <c r="BG277" s="39" t="str">
        <f t="shared" si="16"/>
        <v/>
      </c>
      <c r="BH277" s="39" t="str">
        <f t="shared" si="17"/>
        <v/>
      </c>
      <c r="BI277" s="39" t="str">
        <f t="shared" si="18"/>
        <v/>
      </c>
      <c r="BJ277" t="str">
        <f t="shared" si="19"/>
        <v/>
      </c>
      <c r="BK277" s="39" t="str">
        <f>IF(A277="","",IF(BI277&lt;&gt;TRUE(),"No specific plan",IF(ISNUMBER(BJ277),IF(BJ277&lt;'Exec Summary'!$C$4,"Resolved before Feb 2027","Resolved after Feb 2027"),"CLIENT INPUT REQUIRED")))</f>
        <v/>
      </c>
    </row>
    <row r="278" spans="1:63" ht="15" customHeight="1" x14ac:dyDescent="0.25">
      <c r="A278" s="40"/>
      <c r="BG278" s="39" t="str">
        <f t="shared" si="16"/>
        <v/>
      </c>
      <c r="BH278" s="39" t="str">
        <f t="shared" si="17"/>
        <v/>
      </c>
      <c r="BI278" s="39" t="str">
        <f t="shared" si="18"/>
        <v/>
      </c>
      <c r="BJ278" t="str">
        <f t="shared" si="19"/>
        <v/>
      </c>
      <c r="BK278" s="39" t="str">
        <f>IF(A278="","",IF(BI278&lt;&gt;TRUE(),"No specific plan",IF(ISNUMBER(BJ278),IF(BJ278&lt;'Exec Summary'!$C$4,"Resolved before Feb 2027","Resolved after Feb 2027"),"CLIENT INPUT REQUIRED")))</f>
        <v/>
      </c>
    </row>
    <row r="279" spans="1:63" ht="15" customHeight="1" x14ac:dyDescent="0.25">
      <c r="A279" s="40"/>
      <c r="BG279" s="39" t="str">
        <f t="shared" si="16"/>
        <v/>
      </c>
      <c r="BH279" s="39" t="str">
        <f t="shared" si="17"/>
        <v/>
      </c>
      <c r="BI279" s="39" t="str">
        <f t="shared" si="18"/>
        <v/>
      </c>
      <c r="BJ279" t="str">
        <f t="shared" si="19"/>
        <v/>
      </c>
      <c r="BK279" s="39" t="str">
        <f>IF(A279="","",IF(BI279&lt;&gt;TRUE(),"No specific plan",IF(ISNUMBER(BJ279),IF(BJ279&lt;'Exec Summary'!$C$4,"Resolved before Feb 2027","Resolved after Feb 2027"),"CLIENT INPUT REQUIRED")))</f>
        <v/>
      </c>
    </row>
    <row r="280" spans="1:63" ht="15" customHeight="1" x14ac:dyDescent="0.25">
      <c r="A280" s="40"/>
      <c r="BG280" s="39" t="str">
        <f t="shared" si="16"/>
        <v/>
      </c>
      <c r="BH280" s="39" t="str">
        <f t="shared" si="17"/>
        <v/>
      </c>
      <c r="BI280" s="39" t="str">
        <f t="shared" si="18"/>
        <v/>
      </c>
      <c r="BJ280" t="str">
        <f t="shared" si="19"/>
        <v/>
      </c>
      <c r="BK280" s="39" t="str">
        <f>IF(A280="","",IF(BI280&lt;&gt;TRUE(),"No specific plan",IF(ISNUMBER(BJ280),IF(BJ280&lt;'Exec Summary'!$C$4,"Resolved before Feb 2027","Resolved after Feb 2027"),"CLIENT INPUT REQUIRED")))</f>
        <v/>
      </c>
    </row>
    <row r="281" spans="1:63" ht="15" customHeight="1" x14ac:dyDescent="0.25">
      <c r="A281" s="40"/>
      <c r="BG281" s="39" t="str">
        <f t="shared" si="16"/>
        <v/>
      </c>
      <c r="BH281" s="39" t="str">
        <f t="shared" si="17"/>
        <v/>
      </c>
      <c r="BI281" s="39" t="str">
        <f t="shared" si="18"/>
        <v/>
      </c>
      <c r="BJ281" t="str">
        <f t="shared" si="19"/>
        <v/>
      </c>
      <c r="BK281" s="39" t="str">
        <f>IF(A281="","",IF(BI281&lt;&gt;TRUE(),"No specific plan",IF(ISNUMBER(BJ281),IF(BJ281&lt;'Exec Summary'!$C$4,"Resolved before Feb 2027","Resolved after Feb 2027"),"CLIENT INPUT REQUIRED")))</f>
        <v/>
      </c>
    </row>
    <row r="282" spans="1:63" ht="15" customHeight="1" x14ac:dyDescent="0.25">
      <c r="A282" s="40"/>
      <c r="BG282" s="39" t="str">
        <f t="shared" si="16"/>
        <v/>
      </c>
      <c r="BH282" s="39" t="str">
        <f t="shared" si="17"/>
        <v/>
      </c>
      <c r="BI282" s="39" t="str">
        <f t="shared" si="18"/>
        <v/>
      </c>
      <c r="BJ282" t="str">
        <f t="shared" si="19"/>
        <v/>
      </c>
      <c r="BK282" s="39" t="str">
        <f>IF(A282="","",IF(BI282&lt;&gt;TRUE(),"No specific plan",IF(ISNUMBER(BJ282),IF(BJ282&lt;'Exec Summary'!$C$4,"Resolved before Feb 2027","Resolved after Feb 2027"),"CLIENT INPUT REQUIRED")))</f>
        <v/>
      </c>
    </row>
    <row r="283" spans="1:63" ht="15" customHeight="1" x14ac:dyDescent="0.25">
      <c r="A283" s="40"/>
      <c r="BG283" s="39" t="str">
        <f t="shared" si="16"/>
        <v/>
      </c>
      <c r="BH283" s="39" t="str">
        <f t="shared" si="17"/>
        <v/>
      </c>
      <c r="BI283" s="39" t="str">
        <f t="shared" si="18"/>
        <v/>
      </c>
      <c r="BJ283" t="str">
        <f t="shared" si="19"/>
        <v/>
      </c>
      <c r="BK283" s="39" t="str">
        <f>IF(A283="","",IF(BI283&lt;&gt;TRUE(),"No specific plan",IF(ISNUMBER(BJ283),IF(BJ283&lt;'Exec Summary'!$C$4,"Resolved before Feb 2027","Resolved after Feb 2027"),"CLIENT INPUT REQUIRED")))</f>
        <v/>
      </c>
    </row>
    <row r="284" spans="1:63" ht="15" customHeight="1" x14ac:dyDescent="0.25">
      <c r="A284" s="40"/>
      <c r="BG284" s="39" t="str">
        <f t="shared" si="16"/>
        <v/>
      </c>
      <c r="BH284" s="39" t="str">
        <f t="shared" si="17"/>
        <v/>
      </c>
      <c r="BI284" s="39" t="str">
        <f t="shared" si="18"/>
        <v/>
      </c>
      <c r="BJ284" t="str">
        <f t="shared" si="19"/>
        <v/>
      </c>
      <c r="BK284" s="39" t="str">
        <f>IF(A284="","",IF(BI284&lt;&gt;TRUE(),"No specific plan",IF(ISNUMBER(BJ284),IF(BJ284&lt;'Exec Summary'!$C$4,"Resolved before Feb 2027","Resolved after Feb 2027"),"CLIENT INPUT REQUIRED")))</f>
        <v/>
      </c>
    </row>
    <row r="285" spans="1:63" ht="15" customHeight="1" x14ac:dyDescent="0.25">
      <c r="A285" s="40"/>
      <c r="BG285" s="39" t="str">
        <f t="shared" si="16"/>
        <v/>
      </c>
      <c r="BH285" s="39" t="str">
        <f t="shared" si="17"/>
        <v/>
      </c>
      <c r="BI285" s="39" t="str">
        <f t="shared" si="18"/>
        <v/>
      </c>
      <c r="BJ285" t="str">
        <f t="shared" si="19"/>
        <v/>
      </c>
      <c r="BK285" s="39" t="str">
        <f>IF(A285="","",IF(BI285&lt;&gt;TRUE(),"No specific plan",IF(ISNUMBER(BJ285),IF(BJ285&lt;'Exec Summary'!$C$4,"Resolved before Feb 2027","Resolved after Feb 2027"),"CLIENT INPUT REQUIRED")))</f>
        <v/>
      </c>
    </row>
    <row r="286" spans="1:63" ht="15" customHeight="1" x14ac:dyDescent="0.25">
      <c r="A286" s="40"/>
      <c r="BG286" s="39" t="str">
        <f t="shared" si="16"/>
        <v/>
      </c>
      <c r="BH286" s="39" t="str">
        <f t="shared" si="17"/>
        <v/>
      </c>
      <c r="BI286" s="39" t="str">
        <f t="shared" si="18"/>
        <v/>
      </c>
      <c r="BJ286" t="str">
        <f t="shared" si="19"/>
        <v/>
      </c>
      <c r="BK286" s="39" t="str">
        <f>IF(A286="","",IF(BI286&lt;&gt;TRUE(),"No specific plan",IF(ISNUMBER(BJ286),IF(BJ286&lt;'Exec Summary'!$C$4,"Resolved before Feb 2027","Resolved after Feb 2027"),"CLIENT INPUT REQUIRED")))</f>
        <v/>
      </c>
    </row>
    <row r="287" spans="1:63" ht="15" customHeight="1" x14ac:dyDescent="0.25">
      <c r="A287" s="40"/>
      <c r="BG287" s="39" t="str">
        <f t="shared" si="16"/>
        <v/>
      </c>
      <c r="BH287" s="39" t="str">
        <f t="shared" si="17"/>
        <v/>
      </c>
      <c r="BI287" s="39" t="str">
        <f t="shared" si="18"/>
        <v/>
      </c>
      <c r="BJ287" t="str">
        <f t="shared" si="19"/>
        <v/>
      </c>
      <c r="BK287" s="39" t="str">
        <f>IF(A287="","",IF(BI287&lt;&gt;TRUE(),"No specific plan",IF(ISNUMBER(BJ287),IF(BJ287&lt;'Exec Summary'!$C$4,"Resolved before Feb 2027","Resolved after Feb 2027"),"CLIENT INPUT REQUIRED")))</f>
        <v/>
      </c>
    </row>
    <row r="288" spans="1:63" ht="15" customHeight="1" x14ac:dyDescent="0.25">
      <c r="A288" s="40"/>
      <c r="BG288" s="39" t="str">
        <f t="shared" si="16"/>
        <v/>
      </c>
      <c r="BH288" s="39" t="str">
        <f t="shared" si="17"/>
        <v/>
      </c>
      <c r="BI288" s="39" t="str">
        <f t="shared" si="18"/>
        <v/>
      </c>
      <c r="BJ288" t="str">
        <f t="shared" si="19"/>
        <v/>
      </c>
      <c r="BK288" s="39" t="str">
        <f>IF(A288="","",IF(BI288&lt;&gt;TRUE(),"No specific plan",IF(ISNUMBER(BJ288),IF(BJ288&lt;'Exec Summary'!$C$4,"Resolved before Feb 2027","Resolved after Feb 2027"),"CLIENT INPUT REQUIRED")))</f>
        <v/>
      </c>
    </row>
    <row r="289" spans="1:63" ht="15" customHeight="1" x14ac:dyDescent="0.25">
      <c r="A289" s="40"/>
      <c r="BG289" s="39" t="str">
        <f t="shared" si="16"/>
        <v/>
      </c>
      <c r="BH289" s="39" t="str">
        <f t="shared" si="17"/>
        <v/>
      </c>
      <c r="BI289" s="39" t="str">
        <f t="shared" si="18"/>
        <v/>
      </c>
      <c r="BJ289" t="str">
        <f t="shared" si="19"/>
        <v/>
      </c>
      <c r="BK289" s="39" t="str">
        <f>IF(A289="","",IF(BI289&lt;&gt;TRUE(),"No specific plan",IF(ISNUMBER(BJ289),IF(BJ289&lt;'Exec Summary'!$C$4,"Resolved before Feb 2027","Resolved after Feb 2027"),"CLIENT INPUT REQUIRED")))</f>
        <v/>
      </c>
    </row>
    <row r="290" spans="1:63" ht="15" customHeight="1" x14ac:dyDescent="0.25">
      <c r="A290" s="40"/>
      <c r="BG290" s="39" t="str">
        <f t="shared" si="16"/>
        <v/>
      </c>
      <c r="BH290" s="39" t="str">
        <f t="shared" si="17"/>
        <v/>
      </c>
      <c r="BI290" s="39" t="str">
        <f t="shared" si="18"/>
        <v/>
      </c>
      <c r="BJ290" t="str">
        <f t="shared" si="19"/>
        <v/>
      </c>
      <c r="BK290" s="39" t="str">
        <f>IF(A290="","",IF(BI290&lt;&gt;TRUE(),"No specific plan",IF(ISNUMBER(BJ290),IF(BJ290&lt;'Exec Summary'!$C$4,"Resolved before Feb 2027","Resolved after Feb 2027"),"CLIENT INPUT REQUIRED")))</f>
        <v/>
      </c>
    </row>
    <row r="291" spans="1:63" ht="15" customHeight="1" x14ac:dyDescent="0.25">
      <c r="A291" s="40"/>
      <c r="BG291" s="39" t="str">
        <f t="shared" si="16"/>
        <v/>
      </c>
      <c r="BH291" s="39" t="str">
        <f t="shared" si="17"/>
        <v/>
      </c>
      <c r="BI291" s="39" t="str">
        <f t="shared" si="18"/>
        <v/>
      </c>
      <c r="BJ291" t="str">
        <f t="shared" si="19"/>
        <v/>
      </c>
      <c r="BK291" s="39" t="str">
        <f>IF(A291="","",IF(BI291&lt;&gt;TRUE(),"No specific plan",IF(ISNUMBER(BJ291),IF(BJ291&lt;'Exec Summary'!$C$4,"Resolved before Feb 2027","Resolved after Feb 2027"),"CLIENT INPUT REQUIRED")))</f>
        <v/>
      </c>
    </row>
    <row r="292" spans="1:63" ht="15" customHeight="1" x14ac:dyDescent="0.25">
      <c r="A292" s="40"/>
      <c r="BG292" s="39" t="str">
        <f t="shared" si="16"/>
        <v/>
      </c>
      <c r="BH292" s="39" t="str">
        <f t="shared" si="17"/>
        <v/>
      </c>
      <c r="BI292" s="39" t="str">
        <f t="shared" si="18"/>
        <v/>
      </c>
      <c r="BJ292" t="str">
        <f t="shared" si="19"/>
        <v/>
      </c>
      <c r="BK292" s="39" t="str">
        <f>IF(A292="","",IF(BI292&lt;&gt;TRUE(),"No specific plan",IF(ISNUMBER(BJ292),IF(BJ292&lt;'Exec Summary'!$C$4,"Resolved before Feb 2027","Resolved after Feb 2027"),"CLIENT INPUT REQUIRED")))</f>
        <v/>
      </c>
    </row>
    <row r="293" spans="1:63" ht="15" customHeight="1" x14ac:dyDescent="0.25">
      <c r="A293" s="40"/>
      <c r="BG293" s="39" t="str">
        <f t="shared" si="16"/>
        <v/>
      </c>
      <c r="BH293" s="39" t="str">
        <f t="shared" si="17"/>
        <v/>
      </c>
      <c r="BI293" s="39" t="str">
        <f t="shared" si="18"/>
        <v/>
      </c>
      <c r="BJ293" t="str">
        <f t="shared" si="19"/>
        <v/>
      </c>
      <c r="BK293" s="39" t="str">
        <f>IF(A293="","",IF(BI293&lt;&gt;TRUE(),"No specific plan",IF(ISNUMBER(BJ293),IF(BJ293&lt;'Exec Summary'!$C$4,"Resolved before Feb 2027","Resolved after Feb 2027"),"CLIENT INPUT REQUIRED")))</f>
        <v/>
      </c>
    </row>
    <row r="294" spans="1:63" ht="15" customHeight="1" x14ac:dyDescent="0.25">
      <c r="A294" s="40"/>
      <c r="BG294" s="39" t="str">
        <f t="shared" si="16"/>
        <v/>
      </c>
      <c r="BH294" s="39" t="str">
        <f t="shared" si="17"/>
        <v/>
      </c>
      <c r="BI294" s="39" t="str">
        <f t="shared" si="18"/>
        <v/>
      </c>
      <c r="BJ294" t="str">
        <f t="shared" si="19"/>
        <v/>
      </c>
      <c r="BK294" s="39" t="str">
        <f>IF(A294="","",IF(BI294&lt;&gt;TRUE(),"No specific plan",IF(ISNUMBER(BJ294),IF(BJ294&lt;'Exec Summary'!$C$4,"Resolved before Feb 2027","Resolved after Feb 2027"),"CLIENT INPUT REQUIRED")))</f>
        <v/>
      </c>
    </row>
    <row r="295" spans="1:63" ht="15" customHeight="1" x14ac:dyDescent="0.25">
      <c r="A295" s="40"/>
      <c r="BG295" s="39" t="str">
        <f t="shared" si="16"/>
        <v/>
      </c>
      <c r="BH295" s="39" t="str">
        <f t="shared" si="17"/>
        <v/>
      </c>
      <c r="BI295" s="39" t="str">
        <f t="shared" si="18"/>
        <v/>
      </c>
      <c r="BJ295" t="str">
        <f t="shared" si="19"/>
        <v/>
      </c>
      <c r="BK295" s="39" t="str">
        <f>IF(A295="","",IF(BI295&lt;&gt;TRUE(),"No specific plan",IF(ISNUMBER(BJ295),IF(BJ295&lt;'Exec Summary'!$C$4,"Resolved before Feb 2027","Resolved after Feb 2027"),"CLIENT INPUT REQUIRED")))</f>
        <v/>
      </c>
    </row>
    <row r="296" spans="1:63" ht="15" customHeight="1" x14ac:dyDescent="0.25">
      <c r="A296" s="40"/>
      <c r="BG296" s="39" t="str">
        <f t="shared" si="16"/>
        <v/>
      </c>
      <c r="BH296" s="39" t="str">
        <f t="shared" si="17"/>
        <v/>
      </c>
      <c r="BI296" s="39" t="str">
        <f t="shared" si="18"/>
        <v/>
      </c>
      <c r="BJ296" t="str">
        <f t="shared" si="19"/>
        <v/>
      </c>
      <c r="BK296" s="39" t="str">
        <f>IF(A296="","",IF(BI296&lt;&gt;TRUE(),"No specific plan",IF(ISNUMBER(BJ296),IF(BJ296&lt;'Exec Summary'!$C$4,"Resolved before Feb 2027","Resolved after Feb 2027"),"CLIENT INPUT REQUIRED")))</f>
        <v/>
      </c>
    </row>
    <row r="297" spans="1:63" ht="15" customHeight="1" x14ac:dyDescent="0.25">
      <c r="A297" s="40"/>
      <c r="BG297" s="39" t="str">
        <f t="shared" si="16"/>
        <v/>
      </c>
      <c r="BH297" s="39" t="str">
        <f t="shared" si="17"/>
        <v/>
      </c>
      <c r="BI297" s="39" t="str">
        <f t="shared" si="18"/>
        <v/>
      </c>
      <c r="BJ297" t="str">
        <f t="shared" si="19"/>
        <v/>
      </c>
      <c r="BK297" s="39" t="str">
        <f>IF(A297="","",IF(BI297&lt;&gt;TRUE(),"No specific plan",IF(ISNUMBER(BJ297),IF(BJ297&lt;'Exec Summary'!$C$4,"Resolved before Feb 2027","Resolved after Feb 2027"),"CLIENT INPUT REQUIRED")))</f>
        <v/>
      </c>
    </row>
    <row r="298" spans="1:63" ht="15" customHeight="1" x14ac:dyDescent="0.25">
      <c r="A298" s="40"/>
      <c r="BG298" s="39" t="str">
        <f t="shared" si="16"/>
        <v/>
      </c>
      <c r="BH298" s="39" t="str">
        <f t="shared" si="17"/>
        <v/>
      </c>
      <c r="BI298" s="39" t="str">
        <f t="shared" si="18"/>
        <v/>
      </c>
      <c r="BJ298" t="str">
        <f t="shared" si="19"/>
        <v/>
      </c>
      <c r="BK298" s="39" t="str">
        <f>IF(A298="","",IF(BI298&lt;&gt;TRUE(),"No specific plan",IF(ISNUMBER(BJ298),IF(BJ298&lt;'Exec Summary'!$C$4,"Resolved before Feb 2027","Resolved after Feb 2027"),"CLIENT INPUT REQUIRED")))</f>
        <v/>
      </c>
    </row>
    <row r="299" spans="1:63" ht="15" customHeight="1" x14ac:dyDescent="0.25">
      <c r="A299" s="40"/>
      <c r="BG299" s="39" t="str">
        <f t="shared" si="16"/>
        <v/>
      </c>
      <c r="BH299" s="39" t="str">
        <f t="shared" si="17"/>
        <v/>
      </c>
      <c r="BI299" s="39" t="str">
        <f t="shared" si="18"/>
        <v/>
      </c>
      <c r="BJ299" t="str">
        <f t="shared" si="19"/>
        <v/>
      </c>
      <c r="BK299" s="39" t="str">
        <f>IF(A299="","",IF(BI299&lt;&gt;TRUE(),"No specific plan",IF(ISNUMBER(BJ299),IF(BJ299&lt;'Exec Summary'!$C$4,"Resolved before Feb 2027","Resolved after Feb 2027"),"CLIENT INPUT REQUIRED")))</f>
        <v/>
      </c>
    </row>
    <row r="300" spans="1:63" ht="15" customHeight="1" x14ac:dyDescent="0.25">
      <c r="A300" s="40"/>
      <c r="BG300" s="39" t="str">
        <f t="shared" si="16"/>
        <v/>
      </c>
      <c r="BH300" s="39" t="str">
        <f t="shared" si="17"/>
        <v/>
      </c>
      <c r="BI300" s="39" t="str">
        <f t="shared" si="18"/>
        <v/>
      </c>
      <c r="BJ300" t="str">
        <f t="shared" si="19"/>
        <v/>
      </c>
      <c r="BK300" s="39" t="str">
        <f>IF(A300="","",IF(BI300&lt;&gt;TRUE(),"No specific plan",IF(ISNUMBER(BJ300),IF(BJ300&lt;'Exec Summary'!$C$4,"Resolved before Feb 2027","Resolved after Feb 2027"),"CLIENT INPUT REQUIRED")))</f>
        <v/>
      </c>
    </row>
    <row r="301" spans="1:63" ht="15" customHeight="1" x14ac:dyDescent="0.25">
      <c r="A301" s="40"/>
      <c r="BG301" s="39" t="str">
        <f t="shared" si="16"/>
        <v/>
      </c>
      <c r="BH301" s="39" t="str">
        <f t="shared" si="17"/>
        <v/>
      </c>
      <c r="BI301" s="39" t="str">
        <f t="shared" si="18"/>
        <v/>
      </c>
      <c r="BJ301" t="str">
        <f t="shared" si="19"/>
        <v/>
      </c>
      <c r="BK301" s="39" t="str">
        <f>IF(A301="","",IF(BI301&lt;&gt;TRUE(),"No specific plan",IF(ISNUMBER(BJ301),IF(BJ301&lt;'Exec Summary'!$C$4,"Resolved before Feb 2027","Resolved after Feb 2027"),"CLIENT INPUT REQUIRED")))</f>
        <v/>
      </c>
    </row>
    <row r="302" spans="1:63" ht="15" customHeight="1" x14ac:dyDescent="0.25">
      <c r="A302" s="40"/>
      <c r="BG302" s="39" t="str">
        <f t="shared" si="16"/>
        <v/>
      </c>
      <c r="BH302" s="39" t="str">
        <f t="shared" si="17"/>
        <v/>
      </c>
      <c r="BI302" s="39" t="str">
        <f t="shared" si="18"/>
        <v/>
      </c>
      <c r="BJ302" t="str">
        <f t="shared" si="19"/>
        <v/>
      </c>
      <c r="BK302" s="39" t="str">
        <f>IF(A302="","",IF(BI302&lt;&gt;TRUE(),"No specific plan",IF(ISNUMBER(BJ302),IF(BJ302&lt;'Exec Summary'!$C$4,"Resolved before Feb 2027","Resolved after Feb 2027"),"CLIENT INPUT REQUIRED")))</f>
        <v/>
      </c>
    </row>
    <row r="303" spans="1:63" ht="15" customHeight="1" x14ac:dyDescent="0.25">
      <c r="A303" s="40"/>
      <c r="BG303" s="39" t="str">
        <f t="shared" si="16"/>
        <v/>
      </c>
      <c r="BH303" s="39" t="str">
        <f t="shared" si="17"/>
        <v/>
      </c>
      <c r="BI303" s="39" t="str">
        <f t="shared" si="18"/>
        <v/>
      </c>
      <c r="BJ303" t="str">
        <f t="shared" si="19"/>
        <v/>
      </c>
      <c r="BK303" s="39" t="str">
        <f>IF(A303="","",IF(BI303&lt;&gt;TRUE(),"No specific plan",IF(ISNUMBER(BJ303),IF(BJ303&lt;'Exec Summary'!$C$4,"Resolved before Feb 2027","Resolved after Feb 2027"),"CLIENT INPUT REQUIRED")))</f>
        <v/>
      </c>
    </row>
    <row r="304" spans="1:63" ht="15" customHeight="1" x14ac:dyDescent="0.25">
      <c r="A304" s="40"/>
      <c r="BG304" s="39" t="str">
        <f t="shared" si="16"/>
        <v/>
      </c>
      <c r="BH304" s="39" t="str">
        <f t="shared" si="17"/>
        <v/>
      </c>
      <c r="BI304" s="39" t="str">
        <f t="shared" si="18"/>
        <v/>
      </c>
      <c r="BJ304" t="str">
        <f t="shared" si="19"/>
        <v/>
      </c>
      <c r="BK304" s="39" t="str">
        <f>IF(A304="","",IF(BI304&lt;&gt;TRUE(),"No specific plan",IF(ISNUMBER(BJ304),IF(BJ304&lt;'Exec Summary'!$C$4,"Resolved before Feb 2027","Resolved after Feb 2027"),"CLIENT INPUT REQUIRED")))</f>
        <v/>
      </c>
    </row>
    <row r="305" spans="1:63" ht="15" customHeight="1" x14ac:dyDescent="0.25">
      <c r="A305" s="40"/>
      <c r="BG305" s="39" t="str">
        <f t="shared" si="16"/>
        <v/>
      </c>
      <c r="BH305" s="39" t="str">
        <f t="shared" si="17"/>
        <v/>
      </c>
      <c r="BI305" s="39" t="str">
        <f t="shared" si="18"/>
        <v/>
      </c>
      <c r="BJ305" t="str">
        <f t="shared" si="19"/>
        <v/>
      </c>
      <c r="BK305" s="39" t="str">
        <f>IF(A305="","",IF(BI305&lt;&gt;TRUE(),"No specific plan",IF(ISNUMBER(BJ305),IF(BJ305&lt;'Exec Summary'!$C$4,"Resolved before Feb 2027","Resolved after Feb 2027"),"CLIENT INPUT REQUIRED")))</f>
        <v/>
      </c>
    </row>
    <row r="306" spans="1:63" ht="15" customHeight="1" x14ac:dyDescent="0.25">
      <c r="A306" s="40"/>
      <c r="BG306" s="39" t="str">
        <f t="shared" si="16"/>
        <v/>
      </c>
      <c r="BH306" s="39" t="str">
        <f t="shared" si="17"/>
        <v/>
      </c>
      <c r="BI306" s="39" t="str">
        <f t="shared" si="18"/>
        <v/>
      </c>
      <c r="BJ306" t="str">
        <f t="shared" si="19"/>
        <v/>
      </c>
      <c r="BK306" s="39" t="str">
        <f>IF(A306="","",IF(BI306&lt;&gt;TRUE(),"No specific plan",IF(ISNUMBER(BJ306),IF(BJ306&lt;'Exec Summary'!$C$4,"Resolved before Feb 2027","Resolved after Feb 2027"),"CLIENT INPUT REQUIRED")))</f>
        <v/>
      </c>
    </row>
    <row r="307" spans="1:63" ht="15" customHeight="1" x14ac:dyDescent="0.25">
      <c r="A307" s="40"/>
      <c r="BG307" s="39" t="str">
        <f t="shared" si="16"/>
        <v/>
      </c>
      <c r="BH307" s="39" t="str">
        <f t="shared" si="17"/>
        <v/>
      </c>
      <c r="BI307" s="39" t="str">
        <f t="shared" si="18"/>
        <v/>
      </c>
      <c r="BJ307" t="str">
        <f t="shared" si="19"/>
        <v/>
      </c>
      <c r="BK307" s="39" t="str">
        <f>IF(A307="","",IF(BI307&lt;&gt;TRUE(),"No specific plan",IF(ISNUMBER(BJ307),IF(BJ307&lt;'Exec Summary'!$C$4,"Resolved before Feb 2027","Resolved after Feb 2027"),"CLIENT INPUT REQUIRED")))</f>
        <v/>
      </c>
    </row>
    <row r="308" spans="1:63" ht="15" customHeight="1" x14ac:dyDescent="0.25">
      <c r="A308" s="40"/>
      <c r="BG308" s="39" t="str">
        <f t="shared" si="16"/>
        <v/>
      </c>
      <c r="BH308" s="39" t="str">
        <f t="shared" si="17"/>
        <v/>
      </c>
      <c r="BI308" s="39" t="str">
        <f t="shared" si="18"/>
        <v/>
      </c>
      <c r="BJ308" t="str">
        <f t="shared" si="19"/>
        <v/>
      </c>
      <c r="BK308" s="39" t="str">
        <f>IF(A308="","",IF(BI308&lt;&gt;TRUE(),"No specific plan",IF(ISNUMBER(BJ308),IF(BJ308&lt;'Exec Summary'!$C$4,"Resolved before Feb 2027","Resolved after Feb 2027"),"CLIENT INPUT REQUIRED")))</f>
        <v/>
      </c>
    </row>
    <row r="309" spans="1:63" ht="15" customHeight="1" x14ac:dyDescent="0.25">
      <c r="A309" s="40"/>
      <c r="BG309" s="39" t="str">
        <f t="shared" si="16"/>
        <v/>
      </c>
      <c r="BH309" s="39" t="str">
        <f t="shared" si="17"/>
        <v/>
      </c>
      <c r="BI309" s="39" t="str">
        <f t="shared" si="18"/>
        <v/>
      </c>
      <c r="BJ309" t="str">
        <f t="shared" si="19"/>
        <v/>
      </c>
      <c r="BK309" s="39" t="str">
        <f>IF(A309="","",IF(BI309&lt;&gt;TRUE(),"No specific plan",IF(ISNUMBER(BJ309),IF(BJ309&lt;'Exec Summary'!$C$4,"Resolved before Feb 2027","Resolved after Feb 2027"),"CLIENT INPUT REQUIRED")))</f>
        <v/>
      </c>
    </row>
    <row r="310" spans="1:63" ht="15" customHeight="1" x14ac:dyDescent="0.25">
      <c r="A310" s="40"/>
      <c r="BG310" s="39" t="str">
        <f t="shared" si="16"/>
        <v/>
      </c>
      <c r="BH310" s="39" t="str">
        <f t="shared" si="17"/>
        <v/>
      </c>
      <c r="BI310" s="39" t="str">
        <f t="shared" si="18"/>
        <v/>
      </c>
      <c r="BJ310" t="str">
        <f t="shared" si="19"/>
        <v/>
      </c>
      <c r="BK310" s="39" t="str">
        <f>IF(A310="","",IF(BI310&lt;&gt;TRUE(),"No specific plan",IF(ISNUMBER(BJ310),IF(BJ310&lt;'Exec Summary'!$C$4,"Resolved before Feb 2027","Resolved after Feb 2027"),"CLIENT INPUT REQUIRED")))</f>
        <v/>
      </c>
    </row>
    <row r="311" spans="1:63" ht="15" customHeight="1" x14ac:dyDescent="0.25">
      <c r="A311" s="40"/>
      <c r="BG311" s="39" t="str">
        <f t="shared" si="16"/>
        <v/>
      </c>
      <c r="BH311" s="39" t="str">
        <f t="shared" si="17"/>
        <v/>
      </c>
      <c r="BI311" s="39" t="str">
        <f t="shared" si="18"/>
        <v/>
      </c>
      <c r="BJ311" t="str">
        <f t="shared" si="19"/>
        <v/>
      </c>
      <c r="BK311" s="39" t="str">
        <f>IF(A311="","",IF(BI311&lt;&gt;TRUE(),"No specific plan",IF(ISNUMBER(BJ311),IF(BJ311&lt;'Exec Summary'!$C$4,"Resolved before Feb 2027","Resolved after Feb 2027"),"CLIENT INPUT REQUIRED")))</f>
        <v/>
      </c>
    </row>
    <row r="312" spans="1:63" ht="15" customHeight="1" x14ac:dyDescent="0.25">
      <c r="A312" s="40"/>
      <c r="BG312" s="39" t="str">
        <f t="shared" si="16"/>
        <v/>
      </c>
      <c r="BH312" s="39" t="str">
        <f t="shared" si="17"/>
        <v/>
      </c>
      <c r="BI312" s="39" t="str">
        <f t="shared" si="18"/>
        <v/>
      </c>
      <c r="BJ312" t="str">
        <f t="shared" si="19"/>
        <v/>
      </c>
      <c r="BK312" s="39" t="str">
        <f>IF(A312="","",IF(BI312&lt;&gt;TRUE(),"No specific plan",IF(ISNUMBER(BJ312),IF(BJ312&lt;'Exec Summary'!$C$4,"Resolved before Feb 2027","Resolved after Feb 2027"),"CLIENT INPUT REQUIRED")))</f>
        <v/>
      </c>
    </row>
    <row r="313" spans="1:63" ht="15" customHeight="1" x14ac:dyDescent="0.25">
      <c r="A313" s="40"/>
      <c r="BG313" s="39" t="str">
        <f t="shared" si="16"/>
        <v/>
      </c>
      <c r="BH313" s="39" t="str">
        <f t="shared" si="17"/>
        <v/>
      </c>
      <c r="BI313" s="39" t="str">
        <f t="shared" si="18"/>
        <v/>
      </c>
      <c r="BJ313" t="str">
        <f t="shared" si="19"/>
        <v/>
      </c>
      <c r="BK313" s="39" t="str">
        <f>IF(A313="","",IF(BI313&lt;&gt;TRUE(),"No specific plan",IF(ISNUMBER(BJ313),IF(BJ313&lt;'Exec Summary'!$C$4,"Resolved before Feb 2027","Resolved after Feb 2027"),"CLIENT INPUT REQUIRED")))</f>
        <v/>
      </c>
    </row>
    <row r="314" spans="1:63" ht="15" customHeight="1" x14ac:dyDescent="0.25">
      <c r="A314" s="40"/>
      <c r="BG314" s="39" t="str">
        <f t="shared" si="16"/>
        <v/>
      </c>
      <c r="BH314" s="39" t="str">
        <f t="shared" si="17"/>
        <v/>
      </c>
      <c r="BI314" s="39" t="str">
        <f t="shared" si="18"/>
        <v/>
      </c>
      <c r="BJ314" t="str">
        <f t="shared" si="19"/>
        <v/>
      </c>
      <c r="BK314" s="39" t="str">
        <f>IF(A314="","",IF(BI314&lt;&gt;TRUE(),"No specific plan",IF(ISNUMBER(BJ314),IF(BJ314&lt;'Exec Summary'!$C$4,"Resolved before Feb 2027","Resolved after Feb 2027"),"CLIENT INPUT REQUIRED")))</f>
        <v/>
      </c>
    </row>
    <row r="315" spans="1:63" ht="15" customHeight="1" x14ac:dyDescent="0.25">
      <c r="A315" s="40"/>
      <c r="BG315" s="39" t="str">
        <f t="shared" si="16"/>
        <v/>
      </c>
      <c r="BH315" s="39" t="str">
        <f t="shared" si="17"/>
        <v/>
      </c>
      <c r="BI315" s="39" t="str">
        <f t="shared" si="18"/>
        <v/>
      </c>
      <c r="BJ315" t="str">
        <f t="shared" si="19"/>
        <v/>
      </c>
      <c r="BK315" s="39" t="str">
        <f>IF(A315="","",IF(BI315&lt;&gt;TRUE(),"No specific plan",IF(ISNUMBER(BJ315),IF(BJ315&lt;'Exec Summary'!$C$4,"Resolved before Feb 2027","Resolved after Feb 2027"),"CLIENT INPUT REQUIRED")))</f>
        <v/>
      </c>
    </row>
    <row r="316" spans="1:63" ht="15" customHeight="1" x14ac:dyDescent="0.25">
      <c r="A316" s="40"/>
      <c r="BG316" s="39" t="str">
        <f t="shared" si="16"/>
        <v/>
      </c>
      <c r="BH316" s="39" t="str">
        <f t="shared" si="17"/>
        <v/>
      </c>
      <c r="BI316" s="39" t="str">
        <f t="shared" si="18"/>
        <v/>
      </c>
      <c r="BJ316" t="str">
        <f t="shared" si="19"/>
        <v/>
      </c>
      <c r="BK316" s="39" t="str">
        <f>IF(A316="","",IF(BI316&lt;&gt;TRUE(),"No specific plan",IF(ISNUMBER(BJ316),IF(BJ316&lt;'Exec Summary'!$C$4,"Resolved before Feb 2027","Resolved after Feb 2027"),"CLIENT INPUT REQUIRED")))</f>
        <v/>
      </c>
    </row>
    <row r="317" spans="1:63" ht="15" customHeight="1" x14ac:dyDescent="0.25">
      <c r="A317" s="40"/>
      <c r="BG317" s="39" t="str">
        <f t="shared" si="16"/>
        <v/>
      </c>
      <c r="BH317" s="39" t="str">
        <f t="shared" si="17"/>
        <v/>
      </c>
      <c r="BI317" s="39" t="str">
        <f t="shared" si="18"/>
        <v/>
      </c>
      <c r="BJ317" t="str">
        <f t="shared" si="19"/>
        <v/>
      </c>
      <c r="BK317" s="39" t="str">
        <f>IF(A317="","",IF(BI317&lt;&gt;TRUE(),"No specific plan",IF(ISNUMBER(BJ317),IF(BJ317&lt;'Exec Summary'!$C$4,"Resolved before Feb 2027","Resolved after Feb 2027"),"CLIENT INPUT REQUIRED")))</f>
        <v/>
      </c>
    </row>
    <row r="318" spans="1:63" ht="15" customHeight="1" x14ac:dyDescent="0.25">
      <c r="A318" s="40"/>
      <c r="BG318" s="39" t="str">
        <f t="shared" si="16"/>
        <v/>
      </c>
      <c r="BH318" s="39" t="str">
        <f t="shared" si="17"/>
        <v/>
      </c>
      <c r="BI318" s="39" t="str">
        <f t="shared" si="18"/>
        <v/>
      </c>
      <c r="BJ318" t="str">
        <f t="shared" si="19"/>
        <v/>
      </c>
      <c r="BK318" s="39" t="str">
        <f>IF(A318="","",IF(BI318&lt;&gt;TRUE(),"No specific plan",IF(ISNUMBER(BJ318),IF(BJ318&lt;'Exec Summary'!$C$4,"Resolved before Feb 2027","Resolved after Feb 2027"),"CLIENT INPUT REQUIRED")))</f>
        <v/>
      </c>
    </row>
    <row r="319" spans="1:63" ht="15" customHeight="1" x14ac:dyDescent="0.25">
      <c r="A319" s="40"/>
      <c r="BG319" s="39" t="str">
        <f t="shared" si="16"/>
        <v/>
      </c>
      <c r="BH319" s="39" t="str">
        <f t="shared" si="17"/>
        <v/>
      </c>
      <c r="BI319" s="39" t="str">
        <f t="shared" si="18"/>
        <v/>
      </c>
      <c r="BJ319" t="str">
        <f t="shared" si="19"/>
        <v/>
      </c>
      <c r="BK319" s="39" t="str">
        <f>IF(A319="","",IF(BI319&lt;&gt;TRUE(),"No specific plan",IF(ISNUMBER(BJ319),IF(BJ319&lt;'Exec Summary'!$C$4,"Resolved before Feb 2027","Resolved after Feb 2027"),"CLIENT INPUT REQUIRED")))</f>
        <v/>
      </c>
    </row>
    <row r="320" spans="1:63" ht="15" customHeight="1" x14ac:dyDescent="0.25">
      <c r="A320" s="40"/>
      <c r="BG320" s="39" t="str">
        <f t="shared" si="16"/>
        <v/>
      </c>
      <c r="BH320" s="39" t="str">
        <f t="shared" si="17"/>
        <v/>
      </c>
      <c r="BI320" s="39" t="str">
        <f t="shared" si="18"/>
        <v/>
      </c>
      <c r="BJ320" t="str">
        <f t="shared" si="19"/>
        <v/>
      </c>
      <c r="BK320" s="39" t="str">
        <f>IF(A320="","",IF(BI320&lt;&gt;TRUE(),"No specific plan",IF(ISNUMBER(BJ320),IF(BJ320&lt;'Exec Summary'!$C$4,"Resolved before Feb 2027","Resolved after Feb 2027"),"CLIENT INPUT REQUIRED")))</f>
        <v/>
      </c>
    </row>
    <row r="321" spans="1:63" ht="15" customHeight="1" x14ac:dyDescent="0.25">
      <c r="A321" s="40"/>
      <c r="BG321" s="39" t="str">
        <f t="shared" si="16"/>
        <v/>
      </c>
      <c r="BH321" s="39" t="str">
        <f t="shared" si="17"/>
        <v/>
      </c>
      <c r="BI321" s="39" t="str">
        <f t="shared" si="18"/>
        <v/>
      </c>
      <c r="BJ321" t="str">
        <f t="shared" si="19"/>
        <v/>
      </c>
      <c r="BK321" s="39" t="str">
        <f>IF(A321="","",IF(BI321&lt;&gt;TRUE(),"No specific plan",IF(ISNUMBER(BJ321),IF(BJ321&lt;'Exec Summary'!$C$4,"Resolved before Feb 2027","Resolved after Feb 2027"),"CLIENT INPUT REQUIRED")))</f>
        <v/>
      </c>
    </row>
    <row r="322" spans="1:63" ht="15" customHeight="1" x14ac:dyDescent="0.25">
      <c r="A322" s="40"/>
      <c r="BG322" s="39" t="str">
        <f t="shared" si="16"/>
        <v/>
      </c>
      <c r="BH322" s="39" t="str">
        <f t="shared" si="17"/>
        <v/>
      </c>
      <c r="BI322" s="39" t="str">
        <f t="shared" si="18"/>
        <v/>
      </c>
      <c r="BJ322" t="str">
        <f t="shared" si="19"/>
        <v/>
      </c>
      <c r="BK322" s="39" t="str">
        <f>IF(A322="","",IF(BI322&lt;&gt;TRUE(),"No specific plan",IF(ISNUMBER(BJ322),IF(BJ322&lt;'Exec Summary'!$C$4,"Resolved before Feb 2027","Resolved after Feb 2027"),"CLIENT INPUT REQUIRED")))</f>
        <v/>
      </c>
    </row>
    <row r="323" spans="1:63" ht="15" customHeight="1" x14ac:dyDescent="0.25">
      <c r="A323" s="40"/>
      <c r="BG323" s="39" t="str">
        <f t="shared" si="16"/>
        <v/>
      </c>
      <c r="BH323" s="39" t="str">
        <f t="shared" si="17"/>
        <v/>
      </c>
      <c r="BI323" s="39" t="str">
        <f t="shared" si="18"/>
        <v/>
      </c>
      <c r="BJ323" t="str">
        <f t="shared" si="19"/>
        <v/>
      </c>
      <c r="BK323" s="39" t="str">
        <f>IF(A323="","",IF(BI323&lt;&gt;TRUE(),"No specific plan",IF(ISNUMBER(BJ323),IF(BJ323&lt;'Exec Summary'!$C$4,"Resolved before Feb 2027","Resolved after Feb 2027"),"CLIENT INPUT REQUIRED")))</f>
        <v/>
      </c>
    </row>
    <row r="324" spans="1:63" ht="15" customHeight="1" x14ac:dyDescent="0.25">
      <c r="A324" s="40"/>
      <c r="BG324" s="39" t="str">
        <f t="shared" ref="BG324:BG387" si="20">IF(A324="","",AND(TRIM(G324&amp;"")&lt;&gt;"",UPPER(TRIM(G324&amp;""))&lt;&gt;"NO"))</f>
        <v/>
      </c>
      <c r="BH324" s="39" t="str">
        <f t="shared" ref="BH324:BH387" si="21">IF(J324="","",IF(ISNUMBER(SEARCH("absen",J324)),"Absence of Drainage Network",IF(OR(ISNUMBER(SEARCH("design",J324)),ISNUMBER(SEARCH("capacity",J324))),"Inadequate Design Capacity",IF(OR(ISNUMBER(SEARCH("upgrade",J324)),ISNUMBER(SEARCH("network",J324)),ISNUMBER(SEARCH("topog",J324)),ISNUMBER(SEARCH("road",J324))),"Topography &amp; Road Engineering","CHECK - map manually"))))</f>
        <v/>
      </c>
      <c r="BI324" s="39" t="str">
        <f t="shared" ref="BI324:BI387" si="22">IF(A324="","",AND(UPPER(TRIM(BF324&amp;""))="IDD",OR(TRIM(AN324&amp;"")&lt;&gt;"",TRIM(AY324&amp;"")&lt;&gt;"",TRIM(AZ324&amp;"")&lt;&gt;"")))</f>
        <v/>
      </c>
      <c r="BJ324" t="str">
        <f t="shared" ref="BJ324:BJ387" si="23">IF(A324="","",IF(ISNUMBER(AZ324),AZ324,"CLIENT INPUT REQUIRED"))</f>
        <v/>
      </c>
      <c r="BK324" s="39" t="str">
        <f>IF(A324="","",IF(BI324&lt;&gt;TRUE(),"No specific plan",IF(ISNUMBER(BJ324),IF(BJ324&lt;'Exec Summary'!$C$4,"Resolved before Feb 2027","Resolved after Feb 2027"),"CLIENT INPUT REQUIRED")))</f>
        <v/>
      </c>
    </row>
    <row r="325" spans="1:63" ht="15" customHeight="1" x14ac:dyDescent="0.25">
      <c r="A325" s="40"/>
      <c r="BG325" s="39" t="str">
        <f t="shared" si="20"/>
        <v/>
      </c>
      <c r="BH325" s="39" t="str">
        <f t="shared" si="21"/>
        <v/>
      </c>
      <c r="BI325" s="39" t="str">
        <f t="shared" si="22"/>
        <v/>
      </c>
      <c r="BJ325" t="str">
        <f t="shared" si="23"/>
        <v/>
      </c>
      <c r="BK325" s="39" t="str">
        <f>IF(A325="","",IF(BI325&lt;&gt;TRUE(),"No specific plan",IF(ISNUMBER(BJ325),IF(BJ325&lt;'Exec Summary'!$C$4,"Resolved before Feb 2027","Resolved after Feb 2027"),"CLIENT INPUT REQUIRED")))</f>
        <v/>
      </c>
    </row>
    <row r="326" spans="1:63" ht="15" customHeight="1" x14ac:dyDescent="0.25">
      <c r="A326" s="40"/>
      <c r="BG326" s="39" t="str">
        <f t="shared" si="20"/>
        <v/>
      </c>
      <c r="BH326" s="39" t="str">
        <f t="shared" si="21"/>
        <v/>
      </c>
      <c r="BI326" s="39" t="str">
        <f t="shared" si="22"/>
        <v/>
      </c>
      <c r="BJ326" t="str">
        <f t="shared" si="23"/>
        <v/>
      </c>
      <c r="BK326" s="39" t="str">
        <f>IF(A326="","",IF(BI326&lt;&gt;TRUE(),"No specific plan",IF(ISNUMBER(BJ326),IF(BJ326&lt;'Exec Summary'!$C$4,"Resolved before Feb 2027","Resolved after Feb 2027"),"CLIENT INPUT REQUIRED")))</f>
        <v/>
      </c>
    </row>
    <row r="327" spans="1:63" ht="15" customHeight="1" x14ac:dyDescent="0.25">
      <c r="A327" s="40"/>
      <c r="BG327" s="39" t="str">
        <f t="shared" si="20"/>
        <v/>
      </c>
      <c r="BH327" s="39" t="str">
        <f t="shared" si="21"/>
        <v/>
      </c>
      <c r="BI327" s="39" t="str">
        <f t="shared" si="22"/>
        <v/>
      </c>
      <c r="BJ327" t="str">
        <f t="shared" si="23"/>
        <v/>
      </c>
      <c r="BK327" s="39" t="str">
        <f>IF(A327="","",IF(BI327&lt;&gt;TRUE(),"No specific plan",IF(ISNUMBER(BJ327),IF(BJ327&lt;'Exec Summary'!$C$4,"Resolved before Feb 2027","Resolved after Feb 2027"),"CLIENT INPUT REQUIRED")))</f>
        <v/>
      </c>
    </row>
    <row r="328" spans="1:63" ht="15" customHeight="1" x14ac:dyDescent="0.25">
      <c r="A328" s="40"/>
      <c r="BG328" s="39" t="str">
        <f t="shared" si="20"/>
        <v/>
      </c>
      <c r="BH328" s="39" t="str">
        <f t="shared" si="21"/>
        <v/>
      </c>
      <c r="BI328" s="39" t="str">
        <f t="shared" si="22"/>
        <v/>
      </c>
      <c r="BJ328" t="str">
        <f t="shared" si="23"/>
        <v/>
      </c>
      <c r="BK328" s="39" t="str">
        <f>IF(A328="","",IF(BI328&lt;&gt;TRUE(),"No specific plan",IF(ISNUMBER(BJ328),IF(BJ328&lt;'Exec Summary'!$C$4,"Resolved before Feb 2027","Resolved after Feb 2027"),"CLIENT INPUT REQUIRED")))</f>
        <v/>
      </c>
    </row>
    <row r="329" spans="1:63" ht="15" customHeight="1" x14ac:dyDescent="0.25">
      <c r="A329" s="40"/>
      <c r="BG329" s="39" t="str">
        <f t="shared" si="20"/>
        <v/>
      </c>
      <c r="BH329" s="39" t="str">
        <f t="shared" si="21"/>
        <v/>
      </c>
      <c r="BI329" s="39" t="str">
        <f t="shared" si="22"/>
        <v/>
      </c>
      <c r="BJ329" t="str">
        <f t="shared" si="23"/>
        <v/>
      </c>
      <c r="BK329" s="39" t="str">
        <f>IF(A329="","",IF(BI329&lt;&gt;TRUE(),"No specific plan",IF(ISNUMBER(BJ329),IF(BJ329&lt;'Exec Summary'!$C$4,"Resolved before Feb 2027","Resolved after Feb 2027"),"CLIENT INPUT REQUIRED")))</f>
        <v/>
      </c>
    </row>
    <row r="330" spans="1:63" ht="15" customHeight="1" x14ac:dyDescent="0.25">
      <c r="A330" s="40"/>
      <c r="BG330" s="39" t="str">
        <f t="shared" si="20"/>
        <v/>
      </c>
      <c r="BH330" s="39" t="str">
        <f t="shared" si="21"/>
        <v/>
      </c>
      <c r="BI330" s="39" t="str">
        <f t="shared" si="22"/>
        <v/>
      </c>
      <c r="BJ330" t="str">
        <f t="shared" si="23"/>
        <v/>
      </c>
      <c r="BK330" s="39" t="str">
        <f>IF(A330="","",IF(BI330&lt;&gt;TRUE(),"No specific plan",IF(ISNUMBER(BJ330),IF(BJ330&lt;'Exec Summary'!$C$4,"Resolved before Feb 2027","Resolved after Feb 2027"),"CLIENT INPUT REQUIRED")))</f>
        <v/>
      </c>
    </row>
    <row r="331" spans="1:63" ht="15" customHeight="1" x14ac:dyDescent="0.25">
      <c r="A331" s="40"/>
      <c r="BG331" s="39" t="str">
        <f t="shared" si="20"/>
        <v/>
      </c>
      <c r="BH331" s="39" t="str">
        <f t="shared" si="21"/>
        <v/>
      </c>
      <c r="BI331" s="39" t="str">
        <f t="shared" si="22"/>
        <v/>
      </c>
      <c r="BJ331" t="str">
        <f t="shared" si="23"/>
        <v/>
      </c>
      <c r="BK331" s="39" t="str">
        <f>IF(A331="","",IF(BI331&lt;&gt;TRUE(),"No specific plan",IF(ISNUMBER(BJ331),IF(BJ331&lt;'Exec Summary'!$C$4,"Resolved before Feb 2027","Resolved after Feb 2027"),"CLIENT INPUT REQUIRED")))</f>
        <v/>
      </c>
    </row>
    <row r="332" spans="1:63" ht="15" customHeight="1" x14ac:dyDescent="0.25">
      <c r="A332" s="40"/>
      <c r="BG332" s="39" t="str">
        <f t="shared" si="20"/>
        <v/>
      </c>
      <c r="BH332" s="39" t="str">
        <f t="shared" si="21"/>
        <v/>
      </c>
      <c r="BI332" s="39" t="str">
        <f t="shared" si="22"/>
        <v/>
      </c>
      <c r="BJ332" t="str">
        <f t="shared" si="23"/>
        <v/>
      </c>
      <c r="BK332" s="39" t="str">
        <f>IF(A332="","",IF(BI332&lt;&gt;TRUE(),"No specific plan",IF(ISNUMBER(BJ332),IF(BJ332&lt;'Exec Summary'!$C$4,"Resolved before Feb 2027","Resolved after Feb 2027"),"CLIENT INPUT REQUIRED")))</f>
        <v/>
      </c>
    </row>
    <row r="333" spans="1:63" ht="15" customHeight="1" x14ac:dyDescent="0.25">
      <c r="A333" s="40"/>
      <c r="BG333" s="39" t="str">
        <f t="shared" si="20"/>
        <v/>
      </c>
      <c r="BH333" s="39" t="str">
        <f t="shared" si="21"/>
        <v/>
      </c>
      <c r="BI333" s="39" t="str">
        <f t="shared" si="22"/>
        <v/>
      </c>
      <c r="BJ333" t="str">
        <f t="shared" si="23"/>
        <v/>
      </c>
      <c r="BK333" s="39" t="str">
        <f>IF(A333="","",IF(BI333&lt;&gt;TRUE(),"No specific plan",IF(ISNUMBER(BJ333),IF(BJ333&lt;'Exec Summary'!$C$4,"Resolved before Feb 2027","Resolved after Feb 2027"),"CLIENT INPUT REQUIRED")))</f>
        <v/>
      </c>
    </row>
    <row r="334" spans="1:63" ht="15" customHeight="1" x14ac:dyDescent="0.25">
      <c r="A334" s="40"/>
      <c r="BG334" s="39" t="str">
        <f t="shared" si="20"/>
        <v/>
      </c>
      <c r="BH334" s="39" t="str">
        <f t="shared" si="21"/>
        <v/>
      </c>
      <c r="BI334" s="39" t="str">
        <f t="shared" si="22"/>
        <v/>
      </c>
      <c r="BJ334" t="str">
        <f t="shared" si="23"/>
        <v/>
      </c>
      <c r="BK334" s="39" t="str">
        <f>IF(A334="","",IF(BI334&lt;&gt;TRUE(),"No specific plan",IF(ISNUMBER(BJ334),IF(BJ334&lt;'Exec Summary'!$C$4,"Resolved before Feb 2027","Resolved after Feb 2027"),"CLIENT INPUT REQUIRED")))</f>
        <v/>
      </c>
    </row>
    <row r="335" spans="1:63" ht="15" customHeight="1" x14ac:dyDescent="0.25">
      <c r="A335" s="40"/>
      <c r="BG335" s="39" t="str">
        <f t="shared" si="20"/>
        <v/>
      </c>
      <c r="BH335" s="39" t="str">
        <f t="shared" si="21"/>
        <v/>
      </c>
      <c r="BI335" s="39" t="str">
        <f t="shared" si="22"/>
        <v/>
      </c>
      <c r="BJ335" t="str">
        <f t="shared" si="23"/>
        <v/>
      </c>
      <c r="BK335" s="39" t="str">
        <f>IF(A335="","",IF(BI335&lt;&gt;TRUE(),"No specific plan",IF(ISNUMBER(BJ335),IF(BJ335&lt;'Exec Summary'!$C$4,"Resolved before Feb 2027","Resolved after Feb 2027"),"CLIENT INPUT REQUIRED")))</f>
        <v/>
      </c>
    </row>
    <row r="336" spans="1:63" ht="15" customHeight="1" x14ac:dyDescent="0.25">
      <c r="A336" s="40"/>
      <c r="BG336" s="39" t="str">
        <f t="shared" si="20"/>
        <v/>
      </c>
      <c r="BH336" s="39" t="str">
        <f t="shared" si="21"/>
        <v/>
      </c>
      <c r="BI336" s="39" t="str">
        <f t="shared" si="22"/>
        <v/>
      </c>
      <c r="BJ336" t="str">
        <f t="shared" si="23"/>
        <v/>
      </c>
      <c r="BK336" s="39" t="str">
        <f>IF(A336="","",IF(BI336&lt;&gt;TRUE(),"No specific plan",IF(ISNUMBER(BJ336),IF(BJ336&lt;'Exec Summary'!$C$4,"Resolved before Feb 2027","Resolved after Feb 2027"),"CLIENT INPUT REQUIRED")))</f>
        <v/>
      </c>
    </row>
    <row r="337" spans="1:63" ht="15" customHeight="1" x14ac:dyDescent="0.25">
      <c r="A337" s="40"/>
      <c r="BG337" s="39" t="str">
        <f t="shared" si="20"/>
        <v/>
      </c>
      <c r="BH337" s="39" t="str">
        <f t="shared" si="21"/>
        <v/>
      </c>
      <c r="BI337" s="39" t="str">
        <f t="shared" si="22"/>
        <v/>
      </c>
      <c r="BJ337" t="str">
        <f t="shared" si="23"/>
        <v/>
      </c>
      <c r="BK337" s="39" t="str">
        <f>IF(A337="","",IF(BI337&lt;&gt;TRUE(),"No specific plan",IF(ISNUMBER(BJ337),IF(BJ337&lt;'Exec Summary'!$C$4,"Resolved before Feb 2027","Resolved after Feb 2027"),"CLIENT INPUT REQUIRED")))</f>
        <v/>
      </c>
    </row>
    <row r="338" spans="1:63" ht="15" customHeight="1" x14ac:dyDescent="0.25">
      <c r="A338" s="40"/>
      <c r="BG338" s="39" t="str">
        <f t="shared" si="20"/>
        <v/>
      </c>
      <c r="BH338" s="39" t="str">
        <f t="shared" si="21"/>
        <v/>
      </c>
      <c r="BI338" s="39" t="str">
        <f t="shared" si="22"/>
        <v/>
      </c>
      <c r="BJ338" t="str">
        <f t="shared" si="23"/>
        <v/>
      </c>
      <c r="BK338" s="39" t="str">
        <f>IF(A338="","",IF(BI338&lt;&gt;TRUE(),"No specific plan",IF(ISNUMBER(BJ338),IF(BJ338&lt;'Exec Summary'!$C$4,"Resolved before Feb 2027","Resolved after Feb 2027"),"CLIENT INPUT REQUIRED")))</f>
        <v/>
      </c>
    </row>
    <row r="339" spans="1:63" ht="15" customHeight="1" x14ac:dyDescent="0.25">
      <c r="A339" s="40"/>
      <c r="BG339" s="39" t="str">
        <f t="shared" si="20"/>
        <v/>
      </c>
      <c r="BH339" s="39" t="str">
        <f t="shared" si="21"/>
        <v/>
      </c>
      <c r="BI339" s="39" t="str">
        <f t="shared" si="22"/>
        <v/>
      </c>
      <c r="BJ339" t="str">
        <f t="shared" si="23"/>
        <v/>
      </c>
      <c r="BK339" s="39" t="str">
        <f>IF(A339="","",IF(BI339&lt;&gt;TRUE(),"No specific plan",IF(ISNUMBER(BJ339),IF(BJ339&lt;'Exec Summary'!$C$4,"Resolved before Feb 2027","Resolved after Feb 2027"),"CLIENT INPUT REQUIRED")))</f>
        <v/>
      </c>
    </row>
    <row r="340" spans="1:63" ht="15" customHeight="1" x14ac:dyDescent="0.25">
      <c r="A340" s="40"/>
      <c r="BG340" s="39" t="str">
        <f t="shared" si="20"/>
        <v/>
      </c>
      <c r="BH340" s="39" t="str">
        <f t="shared" si="21"/>
        <v/>
      </c>
      <c r="BI340" s="39" t="str">
        <f t="shared" si="22"/>
        <v/>
      </c>
      <c r="BJ340" t="str">
        <f t="shared" si="23"/>
        <v/>
      </c>
      <c r="BK340" s="39" t="str">
        <f>IF(A340="","",IF(BI340&lt;&gt;TRUE(),"No specific plan",IF(ISNUMBER(BJ340),IF(BJ340&lt;'Exec Summary'!$C$4,"Resolved before Feb 2027","Resolved after Feb 2027"),"CLIENT INPUT REQUIRED")))</f>
        <v/>
      </c>
    </row>
    <row r="341" spans="1:63" ht="15" customHeight="1" x14ac:dyDescent="0.25">
      <c r="A341" s="40"/>
      <c r="BG341" s="39" t="str">
        <f t="shared" si="20"/>
        <v/>
      </c>
      <c r="BH341" s="39" t="str">
        <f t="shared" si="21"/>
        <v/>
      </c>
      <c r="BI341" s="39" t="str">
        <f t="shared" si="22"/>
        <v/>
      </c>
      <c r="BJ341" t="str">
        <f t="shared" si="23"/>
        <v/>
      </c>
      <c r="BK341" s="39" t="str">
        <f>IF(A341="","",IF(BI341&lt;&gt;TRUE(),"No specific plan",IF(ISNUMBER(BJ341),IF(BJ341&lt;'Exec Summary'!$C$4,"Resolved before Feb 2027","Resolved after Feb 2027"),"CLIENT INPUT REQUIRED")))</f>
        <v/>
      </c>
    </row>
    <row r="342" spans="1:63" ht="15" customHeight="1" x14ac:dyDescent="0.25">
      <c r="A342" s="40"/>
      <c r="BG342" s="39" t="str">
        <f t="shared" si="20"/>
        <v/>
      </c>
      <c r="BH342" s="39" t="str">
        <f t="shared" si="21"/>
        <v/>
      </c>
      <c r="BI342" s="39" t="str">
        <f t="shared" si="22"/>
        <v/>
      </c>
      <c r="BJ342" t="str">
        <f t="shared" si="23"/>
        <v/>
      </c>
      <c r="BK342" s="39" t="str">
        <f>IF(A342="","",IF(BI342&lt;&gt;TRUE(),"No specific plan",IF(ISNUMBER(BJ342),IF(BJ342&lt;'Exec Summary'!$C$4,"Resolved before Feb 2027","Resolved after Feb 2027"),"CLIENT INPUT REQUIRED")))</f>
        <v/>
      </c>
    </row>
    <row r="343" spans="1:63" ht="15" customHeight="1" x14ac:dyDescent="0.25">
      <c r="A343" s="40"/>
      <c r="BG343" s="39" t="str">
        <f t="shared" si="20"/>
        <v/>
      </c>
      <c r="BH343" s="39" t="str">
        <f t="shared" si="21"/>
        <v/>
      </c>
      <c r="BI343" s="39" t="str">
        <f t="shared" si="22"/>
        <v/>
      </c>
      <c r="BJ343" t="str">
        <f t="shared" si="23"/>
        <v/>
      </c>
      <c r="BK343" s="39" t="str">
        <f>IF(A343="","",IF(BI343&lt;&gt;TRUE(),"No specific plan",IF(ISNUMBER(BJ343),IF(BJ343&lt;'Exec Summary'!$C$4,"Resolved before Feb 2027","Resolved after Feb 2027"),"CLIENT INPUT REQUIRED")))</f>
        <v/>
      </c>
    </row>
    <row r="344" spans="1:63" ht="15" customHeight="1" x14ac:dyDescent="0.25">
      <c r="A344" s="40"/>
      <c r="BG344" s="39" t="str">
        <f t="shared" si="20"/>
        <v/>
      </c>
      <c r="BH344" s="39" t="str">
        <f t="shared" si="21"/>
        <v/>
      </c>
      <c r="BI344" s="39" t="str">
        <f t="shared" si="22"/>
        <v/>
      </c>
      <c r="BJ344" t="str">
        <f t="shared" si="23"/>
        <v/>
      </c>
      <c r="BK344" s="39" t="str">
        <f>IF(A344="","",IF(BI344&lt;&gt;TRUE(),"No specific plan",IF(ISNUMBER(BJ344),IF(BJ344&lt;'Exec Summary'!$C$4,"Resolved before Feb 2027","Resolved after Feb 2027"),"CLIENT INPUT REQUIRED")))</f>
        <v/>
      </c>
    </row>
    <row r="345" spans="1:63" ht="15" customHeight="1" x14ac:dyDescent="0.25">
      <c r="A345" s="40"/>
      <c r="BG345" s="39" t="str">
        <f t="shared" si="20"/>
        <v/>
      </c>
      <c r="BH345" s="39" t="str">
        <f t="shared" si="21"/>
        <v/>
      </c>
      <c r="BI345" s="39" t="str">
        <f t="shared" si="22"/>
        <v/>
      </c>
      <c r="BJ345" t="str">
        <f t="shared" si="23"/>
        <v/>
      </c>
      <c r="BK345" s="39" t="str">
        <f>IF(A345="","",IF(BI345&lt;&gt;TRUE(),"No specific plan",IF(ISNUMBER(BJ345),IF(BJ345&lt;'Exec Summary'!$C$4,"Resolved before Feb 2027","Resolved after Feb 2027"),"CLIENT INPUT REQUIRED")))</f>
        <v/>
      </c>
    </row>
    <row r="346" spans="1:63" ht="15" customHeight="1" x14ac:dyDescent="0.25">
      <c r="A346" s="40"/>
      <c r="BG346" s="39" t="str">
        <f t="shared" si="20"/>
        <v/>
      </c>
      <c r="BH346" s="39" t="str">
        <f t="shared" si="21"/>
        <v/>
      </c>
      <c r="BI346" s="39" t="str">
        <f t="shared" si="22"/>
        <v/>
      </c>
      <c r="BJ346" t="str">
        <f t="shared" si="23"/>
        <v/>
      </c>
      <c r="BK346" s="39" t="str">
        <f>IF(A346="","",IF(BI346&lt;&gt;TRUE(),"No specific plan",IF(ISNUMBER(BJ346),IF(BJ346&lt;'Exec Summary'!$C$4,"Resolved before Feb 2027","Resolved after Feb 2027"),"CLIENT INPUT REQUIRED")))</f>
        <v/>
      </c>
    </row>
    <row r="347" spans="1:63" ht="15" customHeight="1" x14ac:dyDescent="0.25">
      <c r="A347" s="40"/>
      <c r="BG347" s="39" t="str">
        <f t="shared" si="20"/>
        <v/>
      </c>
      <c r="BH347" s="39" t="str">
        <f t="shared" si="21"/>
        <v/>
      </c>
      <c r="BI347" s="39" t="str">
        <f t="shared" si="22"/>
        <v/>
      </c>
      <c r="BJ347" t="str">
        <f t="shared" si="23"/>
        <v/>
      </c>
      <c r="BK347" s="39" t="str">
        <f>IF(A347="","",IF(BI347&lt;&gt;TRUE(),"No specific plan",IF(ISNUMBER(BJ347),IF(BJ347&lt;'Exec Summary'!$C$4,"Resolved before Feb 2027","Resolved after Feb 2027"),"CLIENT INPUT REQUIRED")))</f>
        <v/>
      </c>
    </row>
    <row r="348" spans="1:63" ht="15" customHeight="1" x14ac:dyDescent="0.25">
      <c r="A348" s="40"/>
      <c r="BG348" s="39" t="str">
        <f t="shared" si="20"/>
        <v/>
      </c>
      <c r="BH348" s="39" t="str">
        <f t="shared" si="21"/>
        <v/>
      </c>
      <c r="BI348" s="39" t="str">
        <f t="shared" si="22"/>
        <v/>
      </c>
      <c r="BJ348" t="str">
        <f t="shared" si="23"/>
        <v/>
      </c>
      <c r="BK348" s="39" t="str">
        <f>IF(A348="","",IF(BI348&lt;&gt;TRUE(),"No specific plan",IF(ISNUMBER(BJ348),IF(BJ348&lt;'Exec Summary'!$C$4,"Resolved before Feb 2027","Resolved after Feb 2027"),"CLIENT INPUT REQUIRED")))</f>
        <v/>
      </c>
    </row>
    <row r="349" spans="1:63" ht="15" customHeight="1" x14ac:dyDescent="0.25">
      <c r="A349" s="40"/>
      <c r="BG349" s="39" t="str">
        <f t="shared" si="20"/>
        <v/>
      </c>
      <c r="BH349" s="39" t="str">
        <f t="shared" si="21"/>
        <v/>
      </c>
      <c r="BI349" s="39" t="str">
        <f t="shared" si="22"/>
        <v/>
      </c>
      <c r="BJ349" t="str">
        <f t="shared" si="23"/>
        <v/>
      </c>
      <c r="BK349" s="39" t="str">
        <f>IF(A349="","",IF(BI349&lt;&gt;TRUE(),"No specific plan",IF(ISNUMBER(BJ349),IF(BJ349&lt;'Exec Summary'!$C$4,"Resolved before Feb 2027","Resolved after Feb 2027"),"CLIENT INPUT REQUIRED")))</f>
        <v/>
      </c>
    </row>
    <row r="350" spans="1:63" ht="15" customHeight="1" x14ac:dyDescent="0.25">
      <c r="A350" s="40"/>
      <c r="BG350" s="39" t="str">
        <f t="shared" si="20"/>
        <v/>
      </c>
      <c r="BH350" s="39" t="str">
        <f t="shared" si="21"/>
        <v/>
      </c>
      <c r="BI350" s="39" t="str">
        <f t="shared" si="22"/>
        <v/>
      </c>
      <c r="BJ350" t="str">
        <f t="shared" si="23"/>
        <v/>
      </c>
      <c r="BK350" s="39" t="str">
        <f>IF(A350="","",IF(BI350&lt;&gt;TRUE(),"No specific plan",IF(ISNUMBER(BJ350),IF(BJ350&lt;'Exec Summary'!$C$4,"Resolved before Feb 2027","Resolved after Feb 2027"),"CLIENT INPUT REQUIRED")))</f>
        <v/>
      </c>
    </row>
    <row r="351" spans="1:63" ht="15" customHeight="1" x14ac:dyDescent="0.25">
      <c r="A351" s="40"/>
      <c r="BG351" s="39" t="str">
        <f t="shared" si="20"/>
        <v/>
      </c>
      <c r="BH351" s="39" t="str">
        <f t="shared" si="21"/>
        <v/>
      </c>
      <c r="BI351" s="39" t="str">
        <f t="shared" si="22"/>
        <v/>
      </c>
      <c r="BJ351" t="str">
        <f t="shared" si="23"/>
        <v/>
      </c>
      <c r="BK351" s="39" t="str">
        <f>IF(A351="","",IF(BI351&lt;&gt;TRUE(),"No specific plan",IF(ISNUMBER(BJ351),IF(BJ351&lt;'Exec Summary'!$C$4,"Resolved before Feb 2027","Resolved after Feb 2027"),"CLIENT INPUT REQUIRED")))</f>
        <v/>
      </c>
    </row>
    <row r="352" spans="1:63" ht="15" customHeight="1" x14ac:dyDescent="0.25">
      <c r="A352" s="40"/>
      <c r="BG352" s="39" t="str">
        <f t="shared" si="20"/>
        <v/>
      </c>
      <c r="BH352" s="39" t="str">
        <f t="shared" si="21"/>
        <v/>
      </c>
      <c r="BI352" s="39" t="str">
        <f t="shared" si="22"/>
        <v/>
      </c>
      <c r="BJ352" t="str">
        <f t="shared" si="23"/>
        <v/>
      </c>
      <c r="BK352" s="39" t="str">
        <f>IF(A352="","",IF(BI352&lt;&gt;TRUE(),"No specific plan",IF(ISNUMBER(BJ352),IF(BJ352&lt;'Exec Summary'!$C$4,"Resolved before Feb 2027","Resolved after Feb 2027"),"CLIENT INPUT REQUIRED")))</f>
        <v/>
      </c>
    </row>
    <row r="353" spans="1:63" ht="15" customHeight="1" x14ac:dyDescent="0.25">
      <c r="A353" s="40"/>
      <c r="BG353" s="39" t="str">
        <f t="shared" si="20"/>
        <v/>
      </c>
      <c r="BH353" s="39" t="str">
        <f t="shared" si="21"/>
        <v/>
      </c>
      <c r="BI353" s="39" t="str">
        <f t="shared" si="22"/>
        <v/>
      </c>
      <c r="BJ353" t="str">
        <f t="shared" si="23"/>
        <v/>
      </c>
      <c r="BK353" s="39" t="str">
        <f>IF(A353="","",IF(BI353&lt;&gt;TRUE(),"No specific plan",IF(ISNUMBER(BJ353),IF(BJ353&lt;'Exec Summary'!$C$4,"Resolved before Feb 2027","Resolved after Feb 2027"),"CLIENT INPUT REQUIRED")))</f>
        <v/>
      </c>
    </row>
    <row r="354" spans="1:63" ht="15" customHeight="1" x14ac:dyDescent="0.25">
      <c r="A354" s="40"/>
      <c r="BG354" s="39" t="str">
        <f t="shared" si="20"/>
        <v/>
      </c>
      <c r="BH354" s="39" t="str">
        <f t="shared" si="21"/>
        <v/>
      </c>
      <c r="BI354" s="39" t="str">
        <f t="shared" si="22"/>
        <v/>
      </c>
      <c r="BJ354" t="str">
        <f t="shared" si="23"/>
        <v/>
      </c>
      <c r="BK354" s="39" t="str">
        <f>IF(A354="","",IF(BI354&lt;&gt;TRUE(),"No specific plan",IF(ISNUMBER(BJ354),IF(BJ354&lt;'Exec Summary'!$C$4,"Resolved before Feb 2027","Resolved after Feb 2027"),"CLIENT INPUT REQUIRED")))</f>
        <v/>
      </c>
    </row>
    <row r="355" spans="1:63" ht="15" customHeight="1" x14ac:dyDescent="0.25">
      <c r="A355" s="40"/>
      <c r="BG355" s="39" t="str">
        <f t="shared" si="20"/>
        <v/>
      </c>
      <c r="BH355" s="39" t="str">
        <f t="shared" si="21"/>
        <v/>
      </c>
      <c r="BI355" s="39" t="str">
        <f t="shared" si="22"/>
        <v/>
      </c>
      <c r="BJ355" t="str">
        <f t="shared" si="23"/>
        <v/>
      </c>
      <c r="BK355" s="39" t="str">
        <f>IF(A355="","",IF(BI355&lt;&gt;TRUE(),"No specific plan",IF(ISNUMBER(BJ355),IF(BJ355&lt;'Exec Summary'!$C$4,"Resolved before Feb 2027","Resolved after Feb 2027"),"CLIENT INPUT REQUIRED")))</f>
        <v/>
      </c>
    </row>
    <row r="356" spans="1:63" ht="15" customHeight="1" x14ac:dyDescent="0.25">
      <c r="A356" s="40"/>
      <c r="BG356" s="39" t="str">
        <f t="shared" si="20"/>
        <v/>
      </c>
      <c r="BH356" s="39" t="str">
        <f t="shared" si="21"/>
        <v/>
      </c>
      <c r="BI356" s="39" t="str">
        <f t="shared" si="22"/>
        <v/>
      </c>
      <c r="BJ356" t="str">
        <f t="shared" si="23"/>
        <v/>
      </c>
      <c r="BK356" s="39" t="str">
        <f>IF(A356="","",IF(BI356&lt;&gt;TRUE(),"No specific plan",IF(ISNUMBER(BJ356),IF(BJ356&lt;'Exec Summary'!$C$4,"Resolved before Feb 2027","Resolved after Feb 2027"),"CLIENT INPUT REQUIRED")))</f>
        <v/>
      </c>
    </row>
    <row r="357" spans="1:63" ht="15" customHeight="1" x14ac:dyDescent="0.25">
      <c r="A357" s="40"/>
      <c r="BG357" s="39" t="str">
        <f t="shared" si="20"/>
        <v/>
      </c>
      <c r="BH357" s="39" t="str">
        <f t="shared" si="21"/>
        <v/>
      </c>
      <c r="BI357" s="39" t="str">
        <f t="shared" si="22"/>
        <v/>
      </c>
      <c r="BJ357" t="str">
        <f t="shared" si="23"/>
        <v/>
      </c>
      <c r="BK357" s="39" t="str">
        <f>IF(A357="","",IF(BI357&lt;&gt;TRUE(),"No specific plan",IF(ISNUMBER(BJ357),IF(BJ357&lt;'Exec Summary'!$C$4,"Resolved before Feb 2027","Resolved after Feb 2027"),"CLIENT INPUT REQUIRED")))</f>
        <v/>
      </c>
    </row>
    <row r="358" spans="1:63" ht="15" customHeight="1" x14ac:dyDescent="0.25">
      <c r="A358" s="40"/>
      <c r="BG358" s="39" t="str">
        <f t="shared" si="20"/>
        <v/>
      </c>
      <c r="BH358" s="39" t="str">
        <f t="shared" si="21"/>
        <v/>
      </c>
      <c r="BI358" s="39" t="str">
        <f t="shared" si="22"/>
        <v/>
      </c>
      <c r="BJ358" t="str">
        <f t="shared" si="23"/>
        <v/>
      </c>
      <c r="BK358" s="39" t="str">
        <f>IF(A358="","",IF(BI358&lt;&gt;TRUE(),"No specific plan",IF(ISNUMBER(BJ358),IF(BJ358&lt;'Exec Summary'!$C$4,"Resolved before Feb 2027","Resolved after Feb 2027"),"CLIENT INPUT REQUIRED")))</f>
        <v/>
      </c>
    </row>
    <row r="359" spans="1:63" ht="15" customHeight="1" x14ac:dyDescent="0.25">
      <c r="A359" s="40"/>
      <c r="BG359" s="39" t="str">
        <f t="shared" si="20"/>
        <v/>
      </c>
      <c r="BH359" s="39" t="str">
        <f t="shared" si="21"/>
        <v/>
      </c>
      <c r="BI359" s="39" t="str">
        <f t="shared" si="22"/>
        <v/>
      </c>
      <c r="BJ359" t="str">
        <f t="shared" si="23"/>
        <v/>
      </c>
      <c r="BK359" s="39" t="str">
        <f>IF(A359="","",IF(BI359&lt;&gt;TRUE(),"No specific plan",IF(ISNUMBER(BJ359),IF(BJ359&lt;'Exec Summary'!$C$4,"Resolved before Feb 2027","Resolved after Feb 2027"),"CLIENT INPUT REQUIRED")))</f>
        <v/>
      </c>
    </row>
    <row r="360" spans="1:63" ht="15" customHeight="1" x14ac:dyDescent="0.25">
      <c r="A360" s="40"/>
      <c r="BG360" s="39" t="str">
        <f t="shared" si="20"/>
        <v/>
      </c>
      <c r="BH360" s="39" t="str">
        <f t="shared" si="21"/>
        <v/>
      </c>
      <c r="BI360" s="39" t="str">
        <f t="shared" si="22"/>
        <v/>
      </c>
      <c r="BJ360" t="str">
        <f t="shared" si="23"/>
        <v/>
      </c>
      <c r="BK360" s="39" t="str">
        <f>IF(A360="","",IF(BI360&lt;&gt;TRUE(),"No specific plan",IF(ISNUMBER(BJ360),IF(BJ360&lt;'Exec Summary'!$C$4,"Resolved before Feb 2027","Resolved after Feb 2027"),"CLIENT INPUT REQUIRED")))</f>
        <v/>
      </c>
    </row>
    <row r="361" spans="1:63" ht="15" customHeight="1" x14ac:dyDescent="0.25">
      <c r="A361" s="40"/>
      <c r="BG361" s="39" t="str">
        <f t="shared" si="20"/>
        <v/>
      </c>
      <c r="BH361" s="39" t="str">
        <f t="shared" si="21"/>
        <v/>
      </c>
      <c r="BI361" s="39" t="str">
        <f t="shared" si="22"/>
        <v/>
      </c>
      <c r="BJ361" t="str">
        <f t="shared" si="23"/>
        <v/>
      </c>
      <c r="BK361" s="39" t="str">
        <f>IF(A361="","",IF(BI361&lt;&gt;TRUE(),"No specific plan",IF(ISNUMBER(BJ361),IF(BJ361&lt;'Exec Summary'!$C$4,"Resolved before Feb 2027","Resolved after Feb 2027"),"CLIENT INPUT REQUIRED")))</f>
        <v/>
      </c>
    </row>
    <row r="362" spans="1:63" ht="15" customHeight="1" x14ac:dyDescent="0.25">
      <c r="A362" s="40"/>
      <c r="BG362" s="39" t="str">
        <f t="shared" si="20"/>
        <v/>
      </c>
      <c r="BH362" s="39" t="str">
        <f t="shared" si="21"/>
        <v/>
      </c>
      <c r="BI362" s="39" t="str">
        <f t="shared" si="22"/>
        <v/>
      </c>
      <c r="BJ362" t="str">
        <f t="shared" si="23"/>
        <v/>
      </c>
      <c r="BK362" s="39" t="str">
        <f>IF(A362="","",IF(BI362&lt;&gt;TRUE(),"No specific plan",IF(ISNUMBER(BJ362),IF(BJ362&lt;'Exec Summary'!$C$4,"Resolved before Feb 2027","Resolved after Feb 2027"),"CLIENT INPUT REQUIRED")))</f>
        <v/>
      </c>
    </row>
    <row r="363" spans="1:63" ht="15" customHeight="1" x14ac:dyDescent="0.25">
      <c r="A363" s="40"/>
      <c r="BG363" s="39" t="str">
        <f t="shared" si="20"/>
        <v/>
      </c>
      <c r="BH363" s="39" t="str">
        <f t="shared" si="21"/>
        <v/>
      </c>
      <c r="BI363" s="39" t="str">
        <f t="shared" si="22"/>
        <v/>
      </c>
      <c r="BJ363" t="str">
        <f t="shared" si="23"/>
        <v/>
      </c>
      <c r="BK363" s="39" t="str">
        <f>IF(A363="","",IF(BI363&lt;&gt;TRUE(),"No specific plan",IF(ISNUMBER(BJ363),IF(BJ363&lt;'Exec Summary'!$C$4,"Resolved before Feb 2027","Resolved after Feb 2027"),"CLIENT INPUT REQUIRED")))</f>
        <v/>
      </c>
    </row>
    <row r="364" spans="1:63" ht="15" customHeight="1" x14ac:dyDescent="0.25">
      <c r="A364" s="40"/>
      <c r="BG364" s="39" t="str">
        <f t="shared" si="20"/>
        <v/>
      </c>
      <c r="BH364" s="39" t="str">
        <f t="shared" si="21"/>
        <v/>
      </c>
      <c r="BI364" s="39" t="str">
        <f t="shared" si="22"/>
        <v/>
      </c>
      <c r="BJ364" t="str">
        <f t="shared" si="23"/>
        <v/>
      </c>
      <c r="BK364" s="39" t="str">
        <f>IF(A364="","",IF(BI364&lt;&gt;TRUE(),"No specific plan",IF(ISNUMBER(BJ364),IF(BJ364&lt;'Exec Summary'!$C$4,"Resolved before Feb 2027","Resolved after Feb 2027"),"CLIENT INPUT REQUIRED")))</f>
        <v/>
      </c>
    </row>
    <row r="365" spans="1:63" ht="15" customHeight="1" x14ac:dyDescent="0.25">
      <c r="A365" s="40"/>
      <c r="BG365" s="39" t="str">
        <f t="shared" si="20"/>
        <v/>
      </c>
      <c r="BH365" s="39" t="str">
        <f t="shared" si="21"/>
        <v/>
      </c>
      <c r="BI365" s="39" t="str">
        <f t="shared" si="22"/>
        <v/>
      </c>
      <c r="BJ365" t="str">
        <f t="shared" si="23"/>
        <v/>
      </c>
      <c r="BK365" s="39" t="str">
        <f>IF(A365="","",IF(BI365&lt;&gt;TRUE(),"No specific plan",IF(ISNUMBER(BJ365),IF(BJ365&lt;'Exec Summary'!$C$4,"Resolved before Feb 2027","Resolved after Feb 2027"),"CLIENT INPUT REQUIRED")))</f>
        <v/>
      </c>
    </row>
    <row r="366" spans="1:63" ht="15" customHeight="1" x14ac:dyDescent="0.25">
      <c r="A366" s="40"/>
      <c r="BG366" s="39" t="str">
        <f t="shared" si="20"/>
        <v/>
      </c>
      <c r="BH366" s="39" t="str">
        <f t="shared" si="21"/>
        <v/>
      </c>
      <c r="BI366" s="39" t="str">
        <f t="shared" si="22"/>
        <v/>
      </c>
      <c r="BJ366" t="str">
        <f t="shared" si="23"/>
        <v/>
      </c>
      <c r="BK366" s="39" t="str">
        <f>IF(A366="","",IF(BI366&lt;&gt;TRUE(),"No specific plan",IF(ISNUMBER(BJ366),IF(BJ366&lt;'Exec Summary'!$C$4,"Resolved before Feb 2027","Resolved after Feb 2027"),"CLIENT INPUT REQUIRED")))</f>
        <v/>
      </c>
    </row>
    <row r="367" spans="1:63" ht="15" customHeight="1" x14ac:dyDescent="0.25">
      <c r="A367" s="40"/>
      <c r="BG367" s="39" t="str">
        <f t="shared" si="20"/>
        <v/>
      </c>
      <c r="BH367" s="39" t="str">
        <f t="shared" si="21"/>
        <v/>
      </c>
      <c r="BI367" s="39" t="str">
        <f t="shared" si="22"/>
        <v/>
      </c>
      <c r="BJ367" t="str">
        <f t="shared" si="23"/>
        <v/>
      </c>
      <c r="BK367" s="39" t="str">
        <f>IF(A367="","",IF(BI367&lt;&gt;TRUE(),"No specific plan",IF(ISNUMBER(BJ367),IF(BJ367&lt;'Exec Summary'!$C$4,"Resolved before Feb 2027","Resolved after Feb 2027"),"CLIENT INPUT REQUIRED")))</f>
        <v/>
      </c>
    </row>
    <row r="368" spans="1:63" ht="15" customHeight="1" x14ac:dyDescent="0.25">
      <c r="A368" s="40"/>
      <c r="BG368" s="39" t="str">
        <f t="shared" si="20"/>
        <v/>
      </c>
      <c r="BH368" s="39" t="str">
        <f t="shared" si="21"/>
        <v/>
      </c>
      <c r="BI368" s="39" t="str">
        <f t="shared" si="22"/>
        <v/>
      </c>
      <c r="BJ368" t="str">
        <f t="shared" si="23"/>
        <v/>
      </c>
      <c r="BK368" s="39" t="str">
        <f>IF(A368="","",IF(BI368&lt;&gt;TRUE(),"No specific plan",IF(ISNUMBER(BJ368),IF(BJ368&lt;'Exec Summary'!$C$4,"Resolved before Feb 2027","Resolved after Feb 2027"),"CLIENT INPUT REQUIRED")))</f>
        <v/>
      </c>
    </row>
    <row r="369" spans="1:63" ht="15" customHeight="1" x14ac:dyDescent="0.25">
      <c r="A369" s="40"/>
      <c r="BG369" s="39" t="str">
        <f t="shared" si="20"/>
        <v/>
      </c>
      <c r="BH369" s="39" t="str">
        <f t="shared" si="21"/>
        <v/>
      </c>
      <c r="BI369" s="39" t="str">
        <f t="shared" si="22"/>
        <v/>
      </c>
      <c r="BJ369" t="str">
        <f t="shared" si="23"/>
        <v/>
      </c>
      <c r="BK369" s="39" t="str">
        <f>IF(A369="","",IF(BI369&lt;&gt;TRUE(),"No specific plan",IF(ISNUMBER(BJ369),IF(BJ369&lt;'Exec Summary'!$C$4,"Resolved before Feb 2027","Resolved after Feb 2027"),"CLIENT INPUT REQUIRED")))</f>
        <v/>
      </c>
    </row>
    <row r="370" spans="1:63" ht="15" customHeight="1" x14ac:dyDescent="0.25">
      <c r="A370" s="40"/>
      <c r="BG370" s="39" t="str">
        <f t="shared" si="20"/>
        <v/>
      </c>
      <c r="BH370" s="39" t="str">
        <f t="shared" si="21"/>
        <v/>
      </c>
      <c r="BI370" s="39" t="str">
        <f t="shared" si="22"/>
        <v/>
      </c>
      <c r="BJ370" t="str">
        <f t="shared" si="23"/>
        <v/>
      </c>
      <c r="BK370" s="39" t="str">
        <f>IF(A370="","",IF(BI370&lt;&gt;TRUE(),"No specific plan",IF(ISNUMBER(BJ370),IF(BJ370&lt;'Exec Summary'!$C$4,"Resolved before Feb 2027","Resolved after Feb 2027"),"CLIENT INPUT REQUIRED")))</f>
        <v/>
      </c>
    </row>
    <row r="371" spans="1:63" ht="15" customHeight="1" x14ac:dyDescent="0.25">
      <c r="A371" s="40"/>
      <c r="BG371" s="39" t="str">
        <f t="shared" si="20"/>
        <v/>
      </c>
      <c r="BH371" s="39" t="str">
        <f t="shared" si="21"/>
        <v/>
      </c>
      <c r="BI371" s="39" t="str">
        <f t="shared" si="22"/>
        <v/>
      </c>
      <c r="BJ371" t="str">
        <f t="shared" si="23"/>
        <v/>
      </c>
      <c r="BK371" s="39" t="str">
        <f>IF(A371="","",IF(BI371&lt;&gt;TRUE(),"No specific plan",IF(ISNUMBER(BJ371),IF(BJ371&lt;'Exec Summary'!$C$4,"Resolved before Feb 2027","Resolved after Feb 2027"),"CLIENT INPUT REQUIRED")))</f>
        <v/>
      </c>
    </row>
    <row r="372" spans="1:63" ht="15" customHeight="1" x14ac:dyDescent="0.25">
      <c r="A372" s="40"/>
      <c r="BG372" s="39" t="str">
        <f t="shared" si="20"/>
        <v/>
      </c>
      <c r="BH372" s="39" t="str">
        <f t="shared" si="21"/>
        <v/>
      </c>
      <c r="BI372" s="39" t="str">
        <f t="shared" si="22"/>
        <v/>
      </c>
      <c r="BJ372" t="str">
        <f t="shared" si="23"/>
        <v/>
      </c>
      <c r="BK372" s="39" t="str">
        <f>IF(A372="","",IF(BI372&lt;&gt;TRUE(),"No specific plan",IF(ISNUMBER(BJ372),IF(BJ372&lt;'Exec Summary'!$C$4,"Resolved before Feb 2027","Resolved after Feb 2027"),"CLIENT INPUT REQUIRED")))</f>
        <v/>
      </c>
    </row>
    <row r="373" spans="1:63" ht="15" customHeight="1" x14ac:dyDescent="0.25">
      <c r="A373" s="40"/>
      <c r="BG373" s="39" t="str">
        <f t="shared" si="20"/>
        <v/>
      </c>
      <c r="BH373" s="39" t="str">
        <f t="shared" si="21"/>
        <v/>
      </c>
      <c r="BI373" s="39" t="str">
        <f t="shared" si="22"/>
        <v/>
      </c>
      <c r="BJ373" t="str">
        <f t="shared" si="23"/>
        <v/>
      </c>
      <c r="BK373" s="39" t="str">
        <f>IF(A373="","",IF(BI373&lt;&gt;TRUE(),"No specific plan",IF(ISNUMBER(BJ373),IF(BJ373&lt;'Exec Summary'!$C$4,"Resolved before Feb 2027","Resolved after Feb 2027"),"CLIENT INPUT REQUIRED")))</f>
        <v/>
      </c>
    </row>
    <row r="374" spans="1:63" ht="15" customHeight="1" x14ac:dyDescent="0.25">
      <c r="A374" s="40"/>
      <c r="BG374" s="39" t="str">
        <f t="shared" si="20"/>
        <v/>
      </c>
      <c r="BH374" s="39" t="str">
        <f t="shared" si="21"/>
        <v/>
      </c>
      <c r="BI374" s="39" t="str">
        <f t="shared" si="22"/>
        <v/>
      </c>
      <c r="BJ374" t="str">
        <f t="shared" si="23"/>
        <v/>
      </c>
      <c r="BK374" s="39" t="str">
        <f>IF(A374="","",IF(BI374&lt;&gt;TRUE(),"No specific plan",IF(ISNUMBER(BJ374),IF(BJ374&lt;'Exec Summary'!$C$4,"Resolved before Feb 2027","Resolved after Feb 2027"),"CLIENT INPUT REQUIRED")))</f>
        <v/>
      </c>
    </row>
    <row r="375" spans="1:63" ht="15" customHeight="1" x14ac:dyDescent="0.25">
      <c r="A375" s="40"/>
      <c r="BG375" s="39" t="str">
        <f t="shared" si="20"/>
        <v/>
      </c>
      <c r="BH375" s="39" t="str">
        <f t="shared" si="21"/>
        <v/>
      </c>
      <c r="BI375" s="39" t="str">
        <f t="shared" si="22"/>
        <v/>
      </c>
      <c r="BJ375" t="str">
        <f t="shared" si="23"/>
        <v/>
      </c>
      <c r="BK375" s="39" t="str">
        <f>IF(A375="","",IF(BI375&lt;&gt;TRUE(),"No specific plan",IF(ISNUMBER(BJ375),IF(BJ375&lt;'Exec Summary'!$C$4,"Resolved before Feb 2027","Resolved after Feb 2027"),"CLIENT INPUT REQUIRED")))</f>
        <v/>
      </c>
    </row>
    <row r="376" spans="1:63" ht="15" customHeight="1" x14ac:dyDescent="0.25">
      <c r="A376" s="40"/>
      <c r="BG376" s="39" t="str">
        <f t="shared" si="20"/>
        <v/>
      </c>
      <c r="BH376" s="39" t="str">
        <f t="shared" si="21"/>
        <v/>
      </c>
      <c r="BI376" s="39" t="str">
        <f t="shared" si="22"/>
        <v/>
      </c>
      <c r="BJ376" t="str">
        <f t="shared" si="23"/>
        <v/>
      </c>
      <c r="BK376" s="39" t="str">
        <f>IF(A376="","",IF(BI376&lt;&gt;TRUE(),"No specific plan",IF(ISNUMBER(BJ376),IF(BJ376&lt;'Exec Summary'!$C$4,"Resolved before Feb 2027","Resolved after Feb 2027"),"CLIENT INPUT REQUIRED")))</f>
        <v/>
      </c>
    </row>
    <row r="377" spans="1:63" ht="15" customHeight="1" x14ac:dyDescent="0.25">
      <c r="A377" s="40"/>
      <c r="BG377" s="39" t="str">
        <f t="shared" si="20"/>
        <v/>
      </c>
      <c r="BH377" s="39" t="str">
        <f t="shared" si="21"/>
        <v/>
      </c>
      <c r="BI377" s="39" t="str">
        <f t="shared" si="22"/>
        <v/>
      </c>
      <c r="BJ377" t="str">
        <f t="shared" si="23"/>
        <v/>
      </c>
      <c r="BK377" s="39" t="str">
        <f>IF(A377="","",IF(BI377&lt;&gt;TRUE(),"No specific plan",IF(ISNUMBER(BJ377),IF(BJ377&lt;'Exec Summary'!$C$4,"Resolved before Feb 2027","Resolved after Feb 2027"),"CLIENT INPUT REQUIRED")))</f>
        <v/>
      </c>
    </row>
    <row r="378" spans="1:63" ht="15" customHeight="1" x14ac:dyDescent="0.25">
      <c r="A378" s="40"/>
      <c r="BG378" s="39" t="str">
        <f t="shared" si="20"/>
        <v/>
      </c>
      <c r="BH378" s="39" t="str">
        <f t="shared" si="21"/>
        <v/>
      </c>
      <c r="BI378" s="39" t="str">
        <f t="shared" si="22"/>
        <v/>
      </c>
      <c r="BJ378" t="str">
        <f t="shared" si="23"/>
        <v/>
      </c>
      <c r="BK378" s="39" t="str">
        <f>IF(A378="","",IF(BI378&lt;&gt;TRUE(),"No specific plan",IF(ISNUMBER(BJ378),IF(BJ378&lt;'Exec Summary'!$C$4,"Resolved before Feb 2027","Resolved after Feb 2027"),"CLIENT INPUT REQUIRED")))</f>
        <v/>
      </c>
    </row>
    <row r="379" spans="1:63" ht="15" customHeight="1" x14ac:dyDescent="0.25">
      <c r="A379" s="40"/>
      <c r="BG379" s="39" t="str">
        <f t="shared" si="20"/>
        <v/>
      </c>
      <c r="BH379" s="39" t="str">
        <f t="shared" si="21"/>
        <v/>
      </c>
      <c r="BI379" s="39" t="str">
        <f t="shared" si="22"/>
        <v/>
      </c>
      <c r="BJ379" t="str">
        <f t="shared" si="23"/>
        <v/>
      </c>
      <c r="BK379" s="39" t="str">
        <f>IF(A379="","",IF(BI379&lt;&gt;TRUE(),"No specific plan",IF(ISNUMBER(BJ379),IF(BJ379&lt;'Exec Summary'!$C$4,"Resolved before Feb 2027","Resolved after Feb 2027"),"CLIENT INPUT REQUIRED")))</f>
        <v/>
      </c>
    </row>
    <row r="380" spans="1:63" ht="15" customHeight="1" x14ac:dyDescent="0.25">
      <c r="A380" s="40"/>
      <c r="BG380" s="39" t="str">
        <f t="shared" si="20"/>
        <v/>
      </c>
      <c r="BH380" s="39" t="str">
        <f t="shared" si="21"/>
        <v/>
      </c>
      <c r="BI380" s="39" t="str">
        <f t="shared" si="22"/>
        <v/>
      </c>
      <c r="BJ380" t="str">
        <f t="shared" si="23"/>
        <v/>
      </c>
      <c r="BK380" s="39" t="str">
        <f>IF(A380="","",IF(BI380&lt;&gt;TRUE(),"No specific plan",IF(ISNUMBER(BJ380),IF(BJ380&lt;'Exec Summary'!$C$4,"Resolved before Feb 2027","Resolved after Feb 2027"),"CLIENT INPUT REQUIRED")))</f>
        <v/>
      </c>
    </row>
    <row r="381" spans="1:63" ht="15" customHeight="1" x14ac:dyDescent="0.25">
      <c r="A381" s="40"/>
      <c r="BG381" s="39" t="str">
        <f t="shared" si="20"/>
        <v/>
      </c>
      <c r="BH381" s="39" t="str">
        <f t="shared" si="21"/>
        <v/>
      </c>
      <c r="BI381" s="39" t="str">
        <f t="shared" si="22"/>
        <v/>
      </c>
      <c r="BJ381" t="str">
        <f t="shared" si="23"/>
        <v/>
      </c>
      <c r="BK381" s="39" t="str">
        <f>IF(A381="","",IF(BI381&lt;&gt;TRUE(),"No specific plan",IF(ISNUMBER(BJ381),IF(BJ381&lt;'Exec Summary'!$C$4,"Resolved before Feb 2027","Resolved after Feb 2027"),"CLIENT INPUT REQUIRED")))</f>
        <v/>
      </c>
    </row>
    <row r="382" spans="1:63" ht="15" customHeight="1" x14ac:dyDescent="0.25">
      <c r="A382" s="40"/>
      <c r="BG382" s="39" t="str">
        <f t="shared" si="20"/>
        <v/>
      </c>
      <c r="BH382" s="39" t="str">
        <f t="shared" si="21"/>
        <v/>
      </c>
      <c r="BI382" s="39" t="str">
        <f t="shared" si="22"/>
        <v/>
      </c>
      <c r="BJ382" t="str">
        <f t="shared" si="23"/>
        <v/>
      </c>
      <c r="BK382" s="39" t="str">
        <f>IF(A382="","",IF(BI382&lt;&gt;TRUE(),"No specific plan",IF(ISNUMBER(BJ382),IF(BJ382&lt;'Exec Summary'!$C$4,"Resolved before Feb 2027","Resolved after Feb 2027"),"CLIENT INPUT REQUIRED")))</f>
        <v/>
      </c>
    </row>
    <row r="383" spans="1:63" ht="15" customHeight="1" x14ac:dyDescent="0.25">
      <c r="A383" s="40"/>
      <c r="BG383" s="39" t="str">
        <f t="shared" si="20"/>
        <v/>
      </c>
      <c r="BH383" s="39" t="str">
        <f t="shared" si="21"/>
        <v/>
      </c>
      <c r="BI383" s="39" t="str">
        <f t="shared" si="22"/>
        <v/>
      </c>
      <c r="BJ383" t="str">
        <f t="shared" si="23"/>
        <v/>
      </c>
      <c r="BK383" s="39" t="str">
        <f>IF(A383="","",IF(BI383&lt;&gt;TRUE(),"No specific plan",IF(ISNUMBER(BJ383),IF(BJ383&lt;'Exec Summary'!$C$4,"Resolved before Feb 2027","Resolved after Feb 2027"),"CLIENT INPUT REQUIRED")))</f>
        <v/>
      </c>
    </row>
    <row r="384" spans="1:63" ht="15" customHeight="1" x14ac:dyDescent="0.25">
      <c r="A384" s="40"/>
      <c r="BG384" s="39" t="str">
        <f t="shared" si="20"/>
        <v/>
      </c>
      <c r="BH384" s="39" t="str">
        <f t="shared" si="21"/>
        <v/>
      </c>
      <c r="BI384" s="39" t="str">
        <f t="shared" si="22"/>
        <v/>
      </c>
      <c r="BJ384" t="str">
        <f t="shared" si="23"/>
        <v/>
      </c>
      <c r="BK384" s="39" t="str">
        <f>IF(A384="","",IF(BI384&lt;&gt;TRUE(),"No specific plan",IF(ISNUMBER(BJ384),IF(BJ384&lt;'Exec Summary'!$C$4,"Resolved before Feb 2027","Resolved after Feb 2027"),"CLIENT INPUT REQUIRED")))</f>
        <v/>
      </c>
    </row>
    <row r="385" spans="1:63" ht="15" customHeight="1" x14ac:dyDescent="0.25">
      <c r="A385" s="40"/>
      <c r="BG385" s="39" t="str">
        <f t="shared" si="20"/>
        <v/>
      </c>
      <c r="BH385" s="39" t="str">
        <f t="shared" si="21"/>
        <v/>
      </c>
      <c r="BI385" s="39" t="str">
        <f t="shared" si="22"/>
        <v/>
      </c>
      <c r="BJ385" t="str">
        <f t="shared" si="23"/>
        <v/>
      </c>
      <c r="BK385" s="39" t="str">
        <f>IF(A385="","",IF(BI385&lt;&gt;TRUE(),"No specific plan",IF(ISNUMBER(BJ385),IF(BJ385&lt;'Exec Summary'!$C$4,"Resolved before Feb 2027","Resolved after Feb 2027"),"CLIENT INPUT REQUIRED")))</f>
        <v/>
      </c>
    </row>
    <row r="386" spans="1:63" ht="15" customHeight="1" x14ac:dyDescent="0.25">
      <c r="A386" s="40"/>
      <c r="BG386" s="39" t="str">
        <f t="shared" si="20"/>
        <v/>
      </c>
      <c r="BH386" s="39" t="str">
        <f t="shared" si="21"/>
        <v/>
      </c>
      <c r="BI386" s="39" t="str">
        <f t="shared" si="22"/>
        <v/>
      </c>
      <c r="BJ386" t="str">
        <f t="shared" si="23"/>
        <v/>
      </c>
      <c r="BK386" s="39" t="str">
        <f>IF(A386="","",IF(BI386&lt;&gt;TRUE(),"No specific plan",IF(ISNUMBER(BJ386),IF(BJ386&lt;'Exec Summary'!$C$4,"Resolved before Feb 2027","Resolved after Feb 2027"),"CLIENT INPUT REQUIRED")))</f>
        <v/>
      </c>
    </row>
    <row r="387" spans="1:63" ht="15" customHeight="1" x14ac:dyDescent="0.25">
      <c r="A387" s="40"/>
      <c r="BG387" s="39" t="str">
        <f t="shared" si="20"/>
        <v/>
      </c>
      <c r="BH387" s="39" t="str">
        <f t="shared" si="21"/>
        <v/>
      </c>
      <c r="BI387" s="39" t="str">
        <f t="shared" si="22"/>
        <v/>
      </c>
      <c r="BJ387" t="str">
        <f t="shared" si="23"/>
        <v/>
      </c>
      <c r="BK387" s="39" t="str">
        <f>IF(A387="","",IF(BI387&lt;&gt;TRUE(),"No specific plan",IF(ISNUMBER(BJ387),IF(BJ387&lt;'Exec Summary'!$C$4,"Resolved before Feb 2027","Resolved after Feb 2027"),"CLIENT INPUT REQUIRED")))</f>
        <v/>
      </c>
    </row>
    <row r="388" spans="1:63" ht="15" customHeight="1" x14ac:dyDescent="0.25">
      <c r="A388" s="40"/>
      <c r="BG388" s="39" t="str">
        <f t="shared" ref="BG388:BG451" si="24">IF(A388="","",AND(TRIM(G388&amp;"")&lt;&gt;"",UPPER(TRIM(G388&amp;""))&lt;&gt;"NO"))</f>
        <v/>
      </c>
      <c r="BH388" s="39" t="str">
        <f t="shared" ref="BH388:BH451" si="25">IF(J388="","",IF(ISNUMBER(SEARCH("absen",J388)),"Absence of Drainage Network",IF(OR(ISNUMBER(SEARCH("design",J388)),ISNUMBER(SEARCH("capacity",J388))),"Inadequate Design Capacity",IF(OR(ISNUMBER(SEARCH("upgrade",J388)),ISNUMBER(SEARCH("network",J388)),ISNUMBER(SEARCH("topog",J388)),ISNUMBER(SEARCH("road",J388))),"Topography &amp; Road Engineering","CHECK - map manually"))))</f>
        <v/>
      </c>
      <c r="BI388" s="39" t="str">
        <f t="shared" ref="BI388:BI451" si="26">IF(A388="","",AND(UPPER(TRIM(BF388&amp;""))="IDD",OR(TRIM(AN388&amp;"")&lt;&gt;"",TRIM(AY388&amp;"")&lt;&gt;"",TRIM(AZ388&amp;"")&lt;&gt;"")))</f>
        <v/>
      </c>
      <c r="BJ388" t="str">
        <f t="shared" ref="BJ388:BJ451" si="27">IF(A388="","",IF(ISNUMBER(AZ388),AZ388,"CLIENT INPUT REQUIRED"))</f>
        <v/>
      </c>
      <c r="BK388" s="39" t="str">
        <f>IF(A388="","",IF(BI388&lt;&gt;TRUE(),"No specific plan",IF(ISNUMBER(BJ388),IF(BJ388&lt;'Exec Summary'!$C$4,"Resolved before Feb 2027","Resolved after Feb 2027"),"CLIENT INPUT REQUIRED")))</f>
        <v/>
      </c>
    </row>
    <row r="389" spans="1:63" ht="15" customHeight="1" x14ac:dyDescent="0.25">
      <c r="A389" s="40"/>
      <c r="BG389" s="39" t="str">
        <f t="shared" si="24"/>
        <v/>
      </c>
      <c r="BH389" s="39" t="str">
        <f t="shared" si="25"/>
        <v/>
      </c>
      <c r="BI389" s="39" t="str">
        <f t="shared" si="26"/>
        <v/>
      </c>
      <c r="BJ389" t="str">
        <f t="shared" si="27"/>
        <v/>
      </c>
      <c r="BK389" s="39" t="str">
        <f>IF(A389="","",IF(BI389&lt;&gt;TRUE(),"No specific plan",IF(ISNUMBER(BJ389),IF(BJ389&lt;'Exec Summary'!$C$4,"Resolved before Feb 2027","Resolved after Feb 2027"),"CLIENT INPUT REQUIRED")))</f>
        <v/>
      </c>
    </row>
    <row r="390" spans="1:63" ht="15" customHeight="1" x14ac:dyDescent="0.25">
      <c r="A390" s="40"/>
      <c r="BG390" s="39" t="str">
        <f t="shared" si="24"/>
        <v/>
      </c>
      <c r="BH390" s="39" t="str">
        <f t="shared" si="25"/>
        <v/>
      </c>
      <c r="BI390" s="39" t="str">
        <f t="shared" si="26"/>
        <v/>
      </c>
      <c r="BJ390" t="str">
        <f t="shared" si="27"/>
        <v/>
      </c>
      <c r="BK390" s="39" t="str">
        <f>IF(A390="","",IF(BI390&lt;&gt;TRUE(),"No specific plan",IF(ISNUMBER(BJ390),IF(BJ390&lt;'Exec Summary'!$C$4,"Resolved before Feb 2027","Resolved after Feb 2027"),"CLIENT INPUT REQUIRED")))</f>
        <v/>
      </c>
    </row>
    <row r="391" spans="1:63" ht="15" customHeight="1" x14ac:dyDescent="0.25">
      <c r="A391" s="40"/>
      <c r="BG391" s="39" t="str">
        <f t="shared" si="24"/>
        <v/>
      </c>
      <c r="BH391" s="39" t="str">
        <f t="shared" si="25"/>
        <v/>
      </c>
      <c r="BI391" s="39" t="str">
        <f t="shared" si="26"/>
        <v/>
      </c>
      <c r="BJ391" t="str">
        <f t="shared" si="27"/>
        <v/>
      </c>
      <c r="BK391" s="39" t="str">
        <f>IF(A391="","",IF(BI391&lt;&gt;TRUE(),"No specific plan",IF(ISNUMBER(BJ391),IF(BJ391&lt;'Exec Summary'!$C$4,"Resolved before Feb 2027","Resolved after Feb 2027"),"CLIENT INPUT REQUIRED")))</f>
        <v/>
      </c>
    </row>
    <row r="392" spans="1:63" ht="15" customHeight="1" x14ac:dyDescent="0.25">
      <c r="A392" s="40"/>
      <c r="BG392" s="39" t="str">
        <f t="shared" si="24"/>
        <v/>
      </c>
      <c r="BH392" s="39" t="str">
        <f t="shared" si="25"/>
        <v/>
      </c>
      <c r="BI392" s="39" t="str">
        <f t="shared" si="26"/>
        <v/>
      </c>
      <c r="BJ392" t="str">
        <f t="shared" si="27"/>
        <v/>
      </c>
      <c r="BK392" s="39" t="str">
        <f>IF(A392="","",IF(BI392&lt;&gt;TRUE(),"No specific plan",IF(ISNUMBER(BJ392),IF(BJ392&lt;'Exec Summary'!$C$4,"Resolved before Feb 2027","Resolved after Feb 2027"),"CLIENT INPUT REQUIRED")))</f>
        <v/>
      </c>
    </row>
    <row r="393" spans="1:63" ht="15" customHeight="1" x14ac:dyDescent="0.25">
      <c r="A393" s="40"/>
      <c r="BG393" s="39" t="str">
        <f t="shared" si="24"/>
        <v/>
      </c>
      <c r="BH393" s="39" t="str">
        <f t="shared" si="25"/>
        <v/>
      </c>
      <c r="BI393" s="39" t="str">
        <f t="shared" si="26"/>
        <v/>
      </c>
      <c r="BJ393" t="str">
        <f t="shared" si="27"/>
        <v/>
      </c>
      <c r="BK393" s="39" t="str">
        <f>IF(A393="","",IF(BI393&lt;&gt;TRUE(),"No specific plan",IF(ISNUMBER(BJ393),IF(BJ393&lt;'Exec Summary'!$C$4,"Resolved before Feb 2027","Resolved after Feb 2027"),"CLIENT INPUT REQUIRED")))</f>
        <v/>
      </c>
    </row>
    <row r="394" spans="1:63" ht="15" customHeight="1" x14ac:dyDescent="0.25">
      <c r="A394" s="40"/>
      <c r="BG394" s="39" t="str">
        <f t="shared" si="24"/>
        <v/>
      </c>
      <c r="BH394" s="39" t="str">
        <f t="shared" si="25"/>
        <v/>
      </c>
      <c r="BI394" s="39" t="str">
        <f t="shared" si="26"/>
        <v/>
      </c>
      <c r="BJ394" t="str">
        <f t="shared" si="27"/>
        <v/>
      </c>
      <c r="BK394" s="39" t="str">
        <f>IF(A394="","",IF(BI394&lt;&gt;TRUE(),"No specific plan",IF(ISNUMBER(BJ394),IF(BJ394&lt;'Exec Summary'!$C$4,"Resolved before Feb 2027","Resolved after Feb 2027"),"CLIENT INPUT REQUIRED")))</f>
        <v/>
      </c>
    </row>
    <row r="395" spans="1:63" ht="15" customHeight="1" x14ac:dyDescent="0.25">
      <c r="A395" s="40"/>
      <c r="BG395" s="39" t="str">
        <f t="shared" si="24"/>
        <v/>
      </c>
      <c r="BH395" s="39" t="str">
        <f t="shared" si="25"/>
        <v/>
      </c>
      <c r="BI395" s="39" t="str">
        <f t="shared" si="26"/>
        <v/>
      </c>
      <c r="BJ395" t="str">
        <f t="shared" si="27"/>
        <v/>
      </c>
      <c r="BK395" s="39" t="str">
        <f>IF(A395="","",IF(BI395&lt;&gt;TRUE(),"No specific plan",IF(ISNUMBER(BJ395),IF(BJ395&lt;'Exec Summary'!$C$4,"Resolved before Feb 2027","Resolved after Feb 2027"),"CLIENT INPUT REQUIRED")))</f>
        <v/>
      </c>
    </row>
    <row r="396" spans="1:63" ht="15" customHeight="1" x14ac:dyDescent="0.25">
      <c r="A396" s="40"/>
      <c r="BG396" s="39" t="str">
        <f t="shared" si="24"/>
        <v/>
      </c>
      <c r="BH396" s="39" t="str">
        <f t="shared" si="25"/>
        <v/>
      </c>
      <c r="BI396" s="39" t="str">
        <f t="shared" si="26"/>
        <v/>
      </c>
      <c r="BJ396" t="str">
        <f t="shared" si="27"/>
        <v/>
      </c>
      <c r="BK396" s="39" t="str">
        <f>IF(A396="","",IF(BI396&lt;&gt;TRUE(),"No specific plan",IF(ISNUMBER(BJ396),IF(BJ396&lt;'Exec Summary'!$C$4,"Resolved before Feb 2027","Resolved after Feb 2027"),"CLIENT INPUT REQUIRED")))</f>
        <v/>
      </c>
    </row>
    <row r="397" spans="1:63" ht="15" customHeight="1" x14ac:dyDescent="0.25">
      <c r="A397" s="40"/>
      <c r="BG397" s="39" t="str">
        <f t="shared" si="24"/>
        <v/>
      </c>
      <c r="BH397" s="39" t="str">
        <f t="shared" si="25"/>
        <v/>
      </c>
      <c r="BI397" s="39" t="str">
        <f t="shared" si="26"/>
        <v/>
      </c>
      <c r="BJ397" t="str">
        <f t="shared" si="27"/>
        <v/>
      </c>
      <c r="BK397" s="39" t="str">
        <f>IF(A397="","",IF(BI397&lt;&gt;TRUE(),"No specific plan",IF(ISNUMBER(BJ397),IF(BJ397&lt;'Exec Summary'!$C$4,"Resolved before Feb 2027","Resolved after Feb 2027"),"CLIENT INPUT REQUIRED")))</f>
        <v/>
      </c>
    </row>
    <row r="398" spans="1:63" ht="15" customHeight="1" x14ac:dyDescent="0.25">
      <c r="A398" s="40"/>
      <c r="BG398" s="39" t="str">
        <f t="shared" si="24"/>
        <v/>
      </c>
      <c r="BH398" s="39" t="str">
        <f t="shared" si="25"/>
        <v/>
      </c>
      <c r="BI398" s="39" t="str">
        <f t="shared" si="26"/>
        <v/>
      </c>
      <c r="BJ398" t="str">
        <f t="shared" si="27"/>
        <v/>
      </c>
      <c r="BK398" s="39" t="str">
        <f>IF(A398="","",IF(BI398&lt;&gt;TRUE(),"No specific plan",IF(ISNUMBER(BJ398),IF(BJ398&lt;'Exec Summary'!$C$4,"Resolved before Feb 2027","Resolved after Feb 2027"),"CLIENT INPUT REQUIRED")))</f>
        <v/>
      </c>
    </row>
    <row r="399" spans="1:63" ht="15" customHeight="1" x14ac:dyDescent="0.25">
      <c r="A399" s="40"/>
      <c r="BG399" s="39" t="str">
        <f t="shared" si="24"/>
        <v/>
      </c>
      <c r="BH399" s="39" t="str">
        <f t="shared" si="25"/>
        <v/>
      </c>
      <c r="BI399" s="39" t="str">
        <f t="shared" si="26"/>
        <v/>
      </c>
      <c r="BJ399" t="str">
        <f t="shared" si="27"/>
        <v/>
      </c>
      <c r="BK399" s="39" t="str">
        <f>IF(A399="","",IF(BI399&lt;&gt;TRUE(),"No specific plan",IF(ISNUMBER(BJ399),IF(BJ399&lt;'Exec Summary'!$C$4,"Resolved before Feb 2027","Resolved after Feb 2027"),"CLIENT INPUT REQUIRED")))</f>
        <v/>
      </c>
    </row>
    <row r="400" spans="1:63" ht="15" customHeight="1" x14ac:dyDescent="0.25">
      <c r="A400" s="40"/>
      <c r="BG400" s="39" t="str">
        <f t="shared" si="24"/>
        <v/>
      </c>
      <c r="BH400" s="39" t="str">
        <f t="shared" si="25"/>
        <v/>
      </c>
      <c r="BI400" s="39" t="str">
        <f t="shared" si="26"/>
        <v/>
      </c>
      <c r="BJ400" t="str">
        <f t="shared" si="27"/>
        <v/>
      </c>
      <c r="BK400" s="39" t="str">
        <f>IF(A400="","",IF(BI400&lt;&gt;TRUE(),"No specific plan",IF(ISNUMBER(BJ400),IF(BJ400&lt;'Exec Summary'!$C$4,"Resolved before Feb 2027","Resolved after Feb 2027"),"CLIENT INPUT REQUIRED")))</f>
        <v/>
      </c>
    </row>
    <row r="401" spans="1:63" ht="15" customHeight="1" x14ac:dyDescent="0.25">
      <c r="A401" s="40"/>
      <c r="BG401" s="39" t="str">
        <f t="shared" si="24"/>
        <v/>
      </c>
      <c r="BH401" s="39" t="str">
        <f t="shared" si="25"/>
        <v/>
      </c>
      <c r="BI401" s="39" t="str">
        <f t="shared" si="26"/>
        <v/>
      </c>
      <c r="BJ401" t="str">
        <f t="shared" si="27"/>
        <v/>
      </c>
      <c r="BK401" s="39" t="str">
        <f>IF(A401="","",IF(BI401&lt;&gt;TRUE(),"No specific plan",IF(ISNUMBER(BJ401),IF(BJ401&lt;'Exec Summary'!$C$4,"Resolved before Feb 2027","Resolved after Feb 2027"),"CLIENT INPUT REQUIRED")))</f>
        <v/>
      </c>
    </row>
    <row r="402" spans="1:63" ht="15" customHeight="1" x14ac:dyDescent="0.25">
      <c r="A402" s="40"/>
      <c r="BG402" s="39" t="str">
        <f t="shared" si="24"/>
        <v/>
      </c>
      <c r="BH402" s="39" t="str">
        <f t="shared" si="25"/>
        <v/>
      </c>
      <c r="BI402" s="39" t="str">
        <f t="shared" si="26"/>
        <v/>
      </c>
      <c r="BJ402" t="str">
        <f t="shared" si="27"/>
        <v/>
      </c>
      <c r="BK402" s="39" t="str">
        <f>IF(A402="","",IF(BI402&lt;&gt;TRUE(),"No specific plan",IF(ISNUMBER(BJ402),IF(BJ402&lt;'Exec Summary'!$C$4,"Resolved before Feb 2027","Resolved after Feb 2027"),"CLIENT INPUT REQUIRED")))</f>
        <v/>
      </c>
    </row>
    <row r="403" spans="1:63" ht="15" customHeight="1" x14ac:dyDescent="0.25">
      <c r="A403" s="40"/>
      <c r="BG403" s="39" t="str">
        <f t="shared" si="24"/>
        <v/>
      </c>
      <c r="BH403" s="39" t="str">
        <f t="shared" si="25"/>
        <v/>
      </c>
      <c r="BI403" s="39" t="str">
        <f t="shared" si="26"/>
        <v/>
      </c>
      <c r="BJ403" t="str">
        <f t="shared" si="27"/>
        <v/>
      </c>
      <c r="BK403" s="39" t="str">
        <f>IF(A403="","",IF(BI403&lt;&gt;TRUE(),"No specific plan",IF(ISNUMBER(BJ403),IF(BJ403&lt;'Exec Summary'!$C$4,"Resolved before Feb 2027","Resolved after Feb 2027"),"CLIENT INPUT REQUIRED")))</f>
        <v/>
      </c>
    </row>
    <row r="404" spans="1:63" ht="15" customHeight="1" x14ac:dyDescent="0.25">
      <c r="A404" s="40"/>
      <c r="BG404" s="39" t="str">
        <f t="shared" si="24"/>
        <v/>
      </c>
      <c r="BH404" s="39" t="str">
        <f t="shared" si="25"/>
        <v/>
      </c>
      <c r="BI404" s="39" t="str">
        <f t="shared" si="26"/>
        <v/>
      </c>
      <c r="BJ404" t="str">
        <f t="shared" si="27"/>
        <v/>
      </c>
      <c r="BK404" s="39" t="str">
        <f>IF(A404="","",IF(BI404&lt;&gt;TRUE(),"No specific plan",IF(ISNUMBER(BJ404),IF(BJ404&lt;'Exec Summary'!$C$4,"Resolved before Feb 2027","Resolved after Feb 2027"),"CLIENT INPUT REQUIRED")))</f>
        <v/>
      </c>
    </row>
    <row r="405" spans="1:63" ht="15" customHeight="1" x14ac:dyDescent="0.25">
      <c r="A405" s="40"/>
      <c r="BG405" s="39" t="str">
        <f t="shared" si="24"/>
        <v/>
      </c>
      <c r="BH405" s="39" t="str">
        <f t="shared" si="25"/>
        <v/>
      </c>
      <c r="BI405" s="39" t="str">
        <f t="shared" si="26"/>
        <v/>
      </c>
      <c r="BJ405" t="str">
        <f t="shared" si="27"/>
        <v/>
      </c>
      <c r="BK405" s="39" t="str">
        <f>IF(A405="","",IF(BI405&lt;&gt;TRUE(),"No specific plan",IF(ISNUMBER(BJ405),IF(BJ405&lt;'Exec Summary'!$C$4,"Resolved before Feb 2027","Resolved after Feb 2027"),"CLIENT INPUT REQUIRED")))</f>
        <v/>
      </c>
    </row>
    <row r="406" spans="1:63" ht="15" customHeight="1" x14ac:dyDescent="0.25">
      <c r="A406" s="40"/>
      <c r="BG406" s="39" t="str">
        <f t="shared" si="24"/>
        <v/>
      </c>
      <c r="BH406" s="39" t="str">
        <f t="shared" si="25"/>
        <v/>
      </c>
      <c r="BI406" s="39" t="str">
        <f t="shared" si="26"/>
        <v/>
      </c>
      <c r="BJ406" t="str">
        <f t="shared" si="27"/>
        <v/>
      </c>
      <c r="BK406" s="39" t="str">
        <f>IF(A406="","",IF(BI406&lt;&gt;TRUE(),"No specific plan",IF(ISNUMBER(BJ406),IF(BJ406&lt;'Exec Summary'!$C$4,"Resolved before Feb 2027","Resolved after Feb 2027"),"CLIENT INPUT REQUIRED")))</f>
        <v/>
      </c>
    </row>
    <row r="407" spans="1:63" ht="15" customHeight="1" x14ac:dyDescent="0.25">
      <c r="A407" s="40"/>
      <c r="BG407" s="39" t="str">
        <f t="shared" si="24"/>
        <v/>
      </c>
      <c r="BH407" s="39" t="str">
        <f t="shared" si="25"/>
        <v/>
      </c>
      <c r="BI407" s="39" t="str">
        <f t="shared" si="26"/>
        <v/>
      </c>
      <c r="BJ407" t="str">
        <f t="shared" si="27"/>
        <v/>
      </c>
      <c r="BK407" s="39" t="str">
        <f>IF(A407="","",IF(BI407&lt;&gt;TRUE(),"No specific plan",IF(ISNUMBER(BJ407),IF(BJ407&lt;'Exec Summary'!$C$4,"Resolved before Feb 2027","Resolved after Feb 2027"),"CLIENT INPUT REQUIRED")))</f>
        <v/>
      </c>
    </row>
    <row r="408" spans="1:63" ht="15" customHeight="1" x14ac:dyDescent="0.25">
      <c r="A408" s="40"/>
      <c r="BG408" s="39" t="str">
        <f t="shared" si="24"/>
        <v/>
      </c>
      <c r="BH408" s="39" t="str">
        <f t="shared" si="25"/>
        <v/>
      </c>
      <c r="BI408" s="39" t="str">
        <f t="shared" si="26"/>
        <v/>
      </c>
      <c r="BJ408" t="str">
        <f t="shared" si="27"/>
        <v/>
      </c>
      <c r="BK408" s="39" t="str">
        <f>IF(A408="","",IF(BI408&lt;&gt;TRUE(),"No specific plan",IF(ISNUMBER(BJ408),IF(BJ408&lt;'Exec Summary'!$C$4,"Resolved before Feb 2027","Resolved after Feb 2027"),"CLIENT INPUT REQUIRED")))</f>
        <v/>
      </c>
    </row>
    <row r="409" spans="1:63" ht="15" customHeight="1" x14ac:dyDescent="0.25">
      <c r="A409" s="40"/>
      <c r="BG409" s="39" t="str">
        <f t="shared" si="24"/>
        <v/>
      </c>
      <c r="BH409" s="39" t="str">
        <f t="shared" si="25"/>
        <v/>
      </c>
      <c r="BI409" s="39" t="str">
        <f t="shared" si="26"/>
        <v/>
      </c>
      <c r="BJ409" t="str">
        <f t="shared" si="27"/>
        <v/>
      </c>
      <c r="BK409" s="39" t="str">
        <f>IF(A409="","",IF(BI409&lt;&gt;TRUE(),"No specific plan",IF(ISNUMBER(BJ409),IF(BJ409&lt;'Exec Summary'!$C$4,"Resolved before Feb 2027","Resolved after Feb 2027"),"CLIENT INPUT REQUIRED")))</f>
        <v/>
      </c>
    </row>
    <row r="410" spans="1:63" ht="15" customHeight="1" x14ac:dyDescent="0.25">
      <c r="A410" s="40"/>
      <c r="BG410" s="39" t="str">
        <f t="shared" si="24"/>
        <v/>
      </c>
      <c r="BH410" s="39" t="str">
        <f t="shared" si="25"/>
        <v/>
      </c>
      <c r="BI410" s="39" t="str">
        <f t="shared" si="26"/>
        <v/>
      </c>
      <c r="BJ410" t="str">
        <f t="shared" si="27"/>
        <v/>
      </c>
      <c r="BK410" s="39" t="str">
        <f>IF(A410="","",IF(BI410&lt;&gt;TRUE(),"No specific plan",IF(ISNUMBER(BJ410),IF(BJ410&lt;'Exec Summary'!$C$4,"Resolved before Feb 2027","Resolved after Feb 2027"),"CLIENT INPUT REQUIRED")))</f>
        <v/>
      </c>
    </row>
    <row r="411" spans="1:63" ht="15" customHeight="1" x14ac:dyDescent="0.25">
      <c r="A411" s="40"/>
      <c r="BG411" s="39" t="str">
        <f t="shared" si="24"/>
        <v/>
      </c>
      <c r="BH411" s="39" t="str">
        <f t="shared" si="25"/>
        <v/>
      </c>
      <c r="BI411" s="39" t="str">
        <f t="shared" si="26"/>
        <v/>
      </c>
      <c r="BJ411" t="str">
        <f t="shared" si="27"/>
        <v/>
      </c>
      <c r="BK411" s="39" t="str">
        <f>IF(A411="","",IF(BI411&lt;&gt;TRUE(),"No specific plan",IF(ISNUMBER(BJ411),IF(BJ411&lt;'Exec Summary'!$C$4,"Resolved before Feb 2027","Resolved after Feb 2027"),"CLIENT INPUT REQUIRED")))</f>
        <v/>
      </c>
    </row>
    <row r="412" spans="1:63" ht="15" customHeight="1" x14ac:dyDescent="0.25">
      <c r="A412" s="40"/>
      <c r="BG412" s="39" t="str">
        <f t="shared" si="24"/>
        <v/>
      </c>
      <c r="BH412" s="39" t="str">
        <f t="shared" si="25"/>
        <v/>
      </c>
      <c r="BI412" s="39" t="str">
        <f t="shared" si="26"/>
        <v/>
      </c>
      <c r="BJ412" t="str">
        <f t="shared" si="27"/>
        <v/>
      </c>
      <c r="BK412" s="39" t="str">
        <f>IF(A412="","",IF(BI412&lt;&gt;TRUE(),"No specific plan",IF(ISNUMBER(BJ412),IF(BJ412&lt;'Exec Summary'!$C$4,"Resolved before Feb 2027","Resolved after Feb 2027"),"CLIENT INPUT REQUIRED")))</f>
        <v/>
      </c>
    </row>
    <row r="413" spans="1:63" ht="15" customHeight="1" x14ac:dyDescent="0.25">
      <c r="A413" s="40"/>
      <c r="BG413" s="39" t="str">
        <f t="shared" si="24"/>
        <v/>
      </c>
      <c r="BH413" s="39" t="str">
        <f t="shared" si="25"/>
        <v/>
      </c>
      <c r="BI413" s="39" t="str">
        <f t="shared" si="26"/>
        <v/>
      </c>
      <c r="BJ413" t="str">
        <f t="shared" si="27"/>
        <v/>
      </c>
      <c r="BK413" s="39" t="str">
        <f>IF(A413="","",IF(BI413&lt;&gt;TRUE(),"No specific plan",IF(ISNUMBER(BJ413),IF(BJ413&lt;'Exec Summary'!$C$4,"Resolved before Feb 2027","Resolved after Feb 2027"),"CLIENT INPUT REQUIRED")))</f>
        <v/>
      </c>
    </row>
    <row r="414" spans="1:63" ht="15" customHeight="1" x14ac:dyDescent="0.25">
      <c r="A414" s="40"/>
      <c r="BG414" s="39" t="str">
        <f t="shared" si="24"/>
        <v/>
      </c>
      <c r="BH414" s="39" t="str">
        <f t="shared" si="25"/>
        <v/>
      </c>
      <c r="BI414" s="39" t="str">
        <f t="shared" si="26"/>
        <v/>
      </c>
      <c r="BJ414" t="str">
        <f t="shared" si="27"/>
        <v/>
      </c>
      <c r="BK414" s="39" t="str">
        <f>IF(A414="","",IF(BI414&lt;&gt;TRUE(),"No specific plan",IF(ISNUMBER(BJ414),IF(BJ414&lt;'Exec Summary'!$C$4,"Resolved before Feb 2027","Resolved after Feb 2027"),"CLIENT INPUT REQUIRED")))</f>
        <v/>
      </c>
    </row>
    <row r="415" spans="1:63" ht="15" customHeight="1" x14ac:dyDescent="0.25">
      <c r="A415" s="40"/>
      <c r="BG415" s="39" t="str">
        <f t="shared" si="24"/>
        <v/>
      </c>
      <c r="BH415" s="39" t="str">
        <f t="shared" si="25"/>
        <v/>
      </c>
      <c r="BI415" s="39" t="str">
        <f t="shared" si="26"/>
        <v/>
      </c>
      <c r="BJ415" t="str">
        <f t="shared" si="27"/>
        <v/>
      </c>
      <c r="BK415" s="39" t="str">
        <f>IF(A415="","",IF(BI415&lt;&gt;TRUE(),"No specific plan",IF(ISNUMBER(BJ415),IF(BJ415&lt;'Exec Summary'!$C$4,"Resolved before Feb 2027","Resolved after Feb 2027"),"CLIENT INPUT REQUIRED")))</f>
        <v/>
      </c>
    </row>
    <row r="416" spans="1:63" ht="15" customHeight="1" x14ac:dyDescent="0.25">
      <c r="A416" s="40"/>
      <c r="BG416" s="39" t="str">
        <f t="shared" si="24"/>
        <v/>
      </c>
      <c r="BH416" s="39" t="str">
        <f t="shared" si="25"/>
        <v/>
      </c>
      <c r="BI416" s="39" t="str">
        <f t="shared" si="26"/>
        <v/>
      </c>
      <c r="BJ416" t="str">
        <f t="shared" si="27"/>
        <v/>
      </c>
      <c r="BK416" s="39" t="str">
        <f>IF(A416="","",IF(BI416&lt;&gt;TRUE(),"No specific plan",IF(ISNUMBER(BJ416),IF(BJ416&lt;'Exec Summary'!$C$4,"Resolved before Feb 2027","Resolved after Feb 2027"),"CLIENT INPUT REQUIRED")))</f>
        <v/>
      </c>
    </row>
    <row r="417" spans="1:63" ht="15" customHeight="1" x14ac:dyDescent="0.25">
      <c r="A417" s="40"/>
      <c r="BG417" s="39" t="str">
        <f t="shared" si="24"/>
        <v/>
      </c>
      <c r="BH417" s="39" t="str">
        <f t="shared" si="25"/>
        <v/>
      </c>
      <c r="BI417" s="39" t="str">
        <f t="shared" si="26"/>
        <v/>
      </c>
      <c r="BJ417" t="str">
        <f t="shared" si="27"/>
        <v/>
      </c>
      <c r="BK417" s="39" t="str">
        <f>IF(A417="","",IF(BI417&lt;&gt;TRUE(),"No specific plan",IF(ISNUMBER(BJ417),IF(BJ417&lt;'Exec Summary'!$C$4,"Resolved before Feb 2027","Resolved after Feb 2027"),"CLIENT INPUT REQUIRED")))</f>
        <v/>
      </c>
    </row>
    <row r="418" spans="1:63" ht="15" customHeight="1" x14ac:dyDescent="0.25">
      <c r="A418" s="40"/>
      <c r="BG418" s="39" t="str">
        <f t="shared" si="24"/>
        <v/>
      </c>
      <c r="BH418" s="39" t="str">
        <f t="shared" si="25"/>
        <v/>
      </c>
      <c r="BI418" s="39" t="str">
        <f t="shared" si="26"/>
        <v/>
      </c>
      <c r="BJ418" t="str">
        <f t="shared" si="27"/>
        <v/>
      </c>
      <c r="BK418" s="39" t="str">
        <f>IF(A418="","",IF(BI418&lt;&gt;TRUE(),"No specific plan",IF(ISNUMBER(BJ418),IF(BJ418&lt;'Exec Summary'!$C$4,"Resolved before Feb 2027","Resolved after Feb 2027"),"CLIENT INPUT REQUIRED")))</f>
        <v/>
      </c>
    </row>
    <row r="419" spans="1:63" ht="15" customHeight="1" x14ac:dyDescent="0.25">
      <c r="A419" s="40"/>
      <c r="BG419" s="39" t="str">
        <f t="shared" si="24"/>
        <v/>
      </c>
      <c r="BH419" s="39" t="str">
        <f t="shared" si="25"/>
        <v/>
      </c>
      <c r="BI419" s="39" t="str">
        <f t="shared" si="26"/>
        <v/>
      </c>
      <c r="BJ419" t="str">
        <f t="shared" si="27"/>
        <v/>
      </c>
      <c r="BK419" s="39" t="str">
        <f>IF(A419="","",IF(BI419&lt;&gt;TRUE(),"No specific plan",IF(ISNUMBER(BJ419),IF(BJ419&lt;'Exec Summary'!$C$4,"Resolved before Feb 2027","Resolved after Feb 2027"),"CLIENT INPUT REQUIRED")))</f>
        <v/>
      </c>
    </row>
    <row r="420" spans="1:63" ht="15" customHeight="1" x14ac:dyDescent="0.25">
      <c r="A420" s="40"/>
      <c r="BG420" s="39" t="str">
        <f t="shared" si="24"/>
        <v/>
      </c>
      <c r="BH420" s="39" t="str">
        <f t="shared" si="25"/>
        <v/>
      </c>
      <c r="BI420" s="39" t="str">
        <f t="shared" si="26"/>
        <v/>
      </c>
      <c r="BJ420" t="str">
        <f t="shared" si="27"/>
        <v/>
      </c>
      <c r="BK420" s="39" t="str">
        <f>IF(A420="","",IF(BI420&lt;&gt;TRUE(),"No specific plan",IF(ISNUMBER(BJ420),IF(BJ420&lt;'Exec Summary'!$C$4,"Resolved before Feb 2027","Resolved after Feb 2027"),"CLIENT INPUT REQUIRED")))</f>
        <v/>
      </c>
    </row>
    <row r="421" spans="1:63" ht="15" customHeight="1" x14ac:dyDescent="0.25">
      <c r="A421" s="40"/>
      <c r="BG421" s="39" t="str">
        <f t="shared" si="24"/>
        <v/>
      </c>
      <c r="BH421" s="39" t="str">
        <f t="shared" si="25"/>
        <v/>
      </c>
      <c r="BI421" s="39" t="str">
        <f t="shared" si="26"/>
        <v/>
      </c>
      <c r="BJ421" t="str">
        <f t="shared" si="27"/>
        <v/>
      </c>
      <c r="BK421" s="39" t="str">
        <f>IF(A421="","",IF(BI421&lt;&gt;TRUE(),"No specific plan",IF(ISNUMBER(BJ421),IF(BJ421&lt;'Exec Summary'!$C$4,"Resolved before Feb 2027","Resolved after Feb 2027"),"CLIENT INPUT REQUIRED")))</f>
        <v/>
      </c>
    </row>
    <row r="422" spans="1:63" ht="15" customHeight="1" x14ac:dyDescent="0.25">
      <c r="A422" s="40"/>
      <c r="BG422" s="39" t="str">
        <f t="shared" si="24"/>
        <v/>
      </c>
      <c r="BH422" s="39" t="str">
        <f t="shared" si="25"/>
        <v/>
      </c>
      <c r="BI422" s="39" t="str">
        <f t="shared" si="26"/>
        <v/>
      </c>
      <c r="BJ422" t="str">
        <f t="shared" si="27"/>
        <v/>
      </c>
      <c r="BK422" s="39" t="str">
        <f>IF(A422="","",IF(BI422&lt;&gt;TRUE(),"No specific plan",IF(ISNUMBER(BJ422),IF(BJ422&lt;'Exec Summary'!$C$4,"Resolved before Feb 2027","Resolved after Feb 2027"),"CLIENT INPUT REQUIRED")))</f>
        <v/>
      </c>
    </row>
    <row r="423" spans="1:63" ht="15" customHeight="1" x14ac:dyDescent="0.25">
      <c r="A423" s="40"/>
      <c r="BG423" s="39" t="str">
        <f t="shared" si="24"/>
        <v/>
      </c>
      <c r="BH423" s="39" t="str">
        <f t="shared" si="25"/>
        <v/>
      </c>
      <c r="BI423" s="39" t="str">
        <f t="shared" si="26"/>
        <v/>
      </c>
      <c r="BJ423" t="str">
        <f t="shared" si="27"/>
        <v/>
      </c>
      <c r="BK423" s="39" t="str">
        <f>IF(A423="","",IF(BI423&lt;&gt;TRUE(),"No specific plan",IF(ISNUMBER(BJ423),IF(BJ423&lt;'Exec Summary'!$C$4,"Resolved before Feb 2027","Resolved after Feb 2027"),"CLIENT INPUT REQUIRED")))</f>
        <v/>
      </c>
    </row>
    <row r="424" spans="1:63" ht="15" customHeight="1" x14ac:dyDescent="0.25">
      <c r="A424" s="40"/>
      <c r="BG424" s="39" t="str">
        <f t="shared" si="24"/>
        <v/>
      </c>
      <c r="BH424" s="39" t="str">
        <f t="shared" si="25"/>
        <v/>
      </c>
      <c r="BI424" s="39" t="str">
        <f t="shared" si="26"/>
        <v/>
      </c>
      <c r="BJ424" t="str">
        <f t="shared" si="27"/>
        <v/>
      </c>
      <c r="BK424" s="39" t="str">
        <f>IF(A424="","",IF(BI424&lt;&gt;TRUE(),"No specific plan",IF(ISNUMBER(BJ424),IF(BJ424&lt;'Exec Summary'!$C$4,"Resolved before Feb 2027","Resolved after Feb 2027"),"CLIENT INPUT REQUIRED")))</f>
        <v/>
      </c>
    </row>
    <row r="425" spans="1:63" ht="15" customHeight="1" x14ac:dyDescent="0.25">
      <c r="A425" s="40"/>
      <c r="BG425" s="39" t="str">
        <f t="shared" si="24"/>
        <v/>
      </c>
      <c r="BH425" s="39" t="str">
        <f t="shared" si="25"/>
        <v/>
      </c>
      <c r="BI425" s="39" t="str">
        <f t="shared" si="26"/>
        <v/>
      </c>
      <c r="BJ425" t="str">
        <f t="shared" si="27"/>
        <v/>
      </c>
      <c r="BK425" s="39" t="str">
        <f>IF(A425="","",IF(BI425&lt;&gt;TRUE(),"No specific plan",IF(ISNUMBER(BJ425),IF(BJ425&lt;'Exec Summary'!$C$4,"Resolved before Feb 2027","Resolved after Feb 2027"),"CLIENT INPUT REQUIRED")))</f>
        <v/>
      </c>
    </row>
    <row r="426" spans="1:63" ht="15" customHeight="1" x14ac:dyDescent="0.25">
      <c r="A426" s="40"/>
      <c r="BG426" s="39" t="str">
        <f t="shared" si="24"/>
        <v/>
      </c>
      <c r="BH426" s="39" t="str">
        <f t="shared" si="25"/>
        <v/>
      </c>
      <c r="BI426" s="39" t="str">
        <f t="shared" si="26"/>
        <v/>
      </c>
      <c r="BJ426" t="str">
        <f t="shared" si="27"/>
        <v/>
      </c>
      <c r="BK426" s="39" t="str">
        <f>IF(A426="","",IF(BI426&lt;&gt;TRUE(),"No specific plan",IF(ISNUMBER(BJ426),IF(BJ426&lt;'Exec Summary'!$C$4,"Resolved before Feb 2027","Resolved after Feb 2027"),"CLIENT INPUT REQUIRED")))</f>
        <v/>
      </c>
    </row>
    <row r="427" spans="1:63" ht="15" customHeight="1" x14ac:dyDescent="0.25">
      <c r="A427" s="40"/>
      <c r="BG427" s="39" t="str">
        <f t="shared" si="24"/>
        <v/>
      </c>
      <c r="BH427" s="39" t="str">
        <f t="shared" si="25"/>
        <v/>
      </c>
      <c r="BI427" s="39" t="str">
        <f t="shared" si="26"/>
        <v/>
      </c>
      <c r="BJ427" t="str">
        <f t="shared" si="27"/>
        <v/>
      </c>
      <c r="BK427" s="39" t="str">
        <f>IF(A427="","",IF(BI427&lt;&gt;TRUE(),"No specific plan",IF(ISNUMBER(BJ427),IF(BJ427&lt;'Exec Summary'!$C$4,"Resolved before Feb 2027","Resolved after Feb 2027"),"CLIENT INPUT REQUIRED")))</f>
        <v/>
      </c>
    </row>
    <row r="428" spans="1:63" ht="15" customHeight="1" x14ac:dyDescent="0.25">
      <c r="A428" s="40"/>
      <c r="BG428" s="39" t="str">
        <f t="shared" si="24"/>
        <v/>
      </c>
      <c r="BH428" s="39" t="str">
        <f t="shared" si="25"/>
        <v/>
      </c>
      <c r="BI428" s="39" t="str">
        <f t="shared" si="26"/>
        <v/>
      </c>
      <c r="BJ428" t="str">
        <f t="shared" si="27"/>
        <v/>
      </c>
      <c r="BK428" s="39" t="str">
        <f>IF(A428="","",IF(BI428&lt;&gt;TRUE(),"No specific plan",IF(ISNUMBER(BJ428),IF(BJ428&lt;'Exec Summary'!$C$4,"Resolved before Feb 2027","Resolved after Feb 2027"),"CLIENT INPUT REQUIRED")))</f>
        <v/>
      </c>
    </row>
    <row r="429" spans="1:63" ht="15" customHeight="1" x14ac:dyDescent="0.25">
      <c r="A429" s="40"/>
      <c r="BG429" s="39" t="str">
        <f t="shared" si="24"/>
        <v/>
      </c>
      <c r="BH429" s="39" t="str">
        <f t="shared" si="25"/>
        <v/>
      </c>
      <c r="BI429" s="39" t="str">
        <f t="shared" si="26"/>
        <v/>
      </c>
      <c r="BJ429" t="str">
        <f t="shared" si="27"/>
        <v/>
      </c>
      <c r="BK429" s="39" t="str">
        <f>IF(A429="","",IF(BI429&lt;&gt;TRUE(),"No specific plan",IF(ISNUMBER(BJ429),IF(BJ429&lt;'Exec Summary'!$C$4,"Resolved before Feb 2027","Resolved after Feb 2027"),"CLIENT INPUT REQUIRED")))</f>
        <v/>
      </c>
    </row>
    <row r="430" spans="1:63" ht="15" customHeight="1" x14ac:dyDescent="0.25">
      <c r="A430" s="40"/>
      <c r="BG430" s="39" t="str">
        <f t="shared" si="24"/>
        <v/>
      </c>
      <c r="BH430" s="39" t="str">
        <f t="shared" si="25"/>
        <v/>
      </c>
      <c r="BI430" s="39" t="str">
        <f t="shared" si="26"/>
        <v/>
      </c>
      <c r="BJ430" t="str">
        <f t="shared" si="27"/>
        <v/>
      </c>
      <c r="BK430" s="39" t="str">
        <f>IF(A430="","",IF(BI430&lt;&gt;TRUE(),"No specific plan",IF(ISNUMBER(BJ430),IF(BJ430&lt;'Exec Summary'!$C$4,"Resolved before Feb 2027","Resolved after Feb 2027"),"CLIENT INPUT REQUIRED")))</f>
        <v/>
      </c>
    </row>
    <row r="431" spans="1:63" ht="15" customHeight="1" x14ac:dyDescent="0.25">
      <c r="A431" s="40"/>
      <c r="BG431" s="39" t="str">
        <f t="shared" si="24"/>
        <v/>
      </c>
      <c r="BH431" s="39" t="str">
        <f t="shared" si="25"/>
        <v/>
      </c>
      <c r="BI431" s="39" t="str">
        <f t="shared" si="26"/>
        <v/>
      </c>
      <c r="BJ431" t="str">
        <f t="shared" si="27"/>
        <v/>
      </c>
      <c r="BK431" s="39" t="str">
        <f>IF(A431="","",IF(BI431&lt;&gt;TRUE(),"No specific plan",IF(ISNUMBER(BJ431),IF(BJ431&lt;'Exec Summary'!$C$4,"Resolved before Feb 2027","Resolved after Feb 2027"),"CLIENT INPUT REQUIRED")))</f>
        <v/>
      </c>
    </row>
    <row r="432" spans="1:63" ht="15" customHeight="1" x14ac:dyDescent="0.25">
      <c r="A432" s="40"/>
      <c r="BG432" s="39" t="str">
        <f t="shared" si="24"/>
        <v/>
      </c>
      <c r="BH432" s="39" t="str">
        <f t="shared" si="25"/>
        <v/>
      </c>
      <c r="BI432" s="39" t="str">
        <f t="shared" si="26"/>
        <v/>
      </c>
      <c r="BJ432" t="str">
        <f t="shared" si="27"/>
        <v/>
      </c>
      <c r="BK432" s="39" t="str">
        <f>IF(A432="","",IF(BI432&lt;&gt;TRUE(),"No specific plan",IF(ISNUMBER(BJ432),IF(BJ432&lt;'Exec Summary'!$C$4,"Resolved before Feb 2027","Resolved after Feb 2027"),"CLIENT INPUT REQUIRED")))</f>
        <v/>
      </c>
    </row>
    <row r="433" spans="1:63" ht="15" customHeight="1" x14ac:dyDescent="0.25">
      <c r="A433" s="40"/>
      <c r="BG433" s="39" t="str">
        <f t="shared" si="24"/>
        <v/>
      </c>
      <c r="BH433" s="39" t="str">
        <f t="shared" si="25"/>
        <v/>
      </c>
      <c r="BI433" s="39" t="str">
        <f t="shared" si="26"/>
        <v/>
      </c>
      <c r="BJ433" t="str">
        <f t="shared" si="27"/>
        <v/>
      </c>
      <c r="BK433" s="39" t="str">
        <f>IF(A433="","",IF(BI433&lt;&gt;TRUE(),"No specific plan",IF(ISNUMBER(BJ433),IF(BJ433&lt;'Exec Summary'!$C$4,"Resolved before Feb 2027","Resolved after Feb 2027"),"CLIENT INPUT REQUIRED")))</f>
        <v/>
      </c>
    </row>
    <row r="434" spans="1:63" ht="15" customHeight="1" x14ac:dyDescent="0.25">
      <c r="A434" s="40"/>
      <c r="BG434" s="39" t="str">
        <f t="shared" si="24"/>
        <v/>
      </c>
      <c r="BH434" s="39" t="str">
        <f t="shared" si="25"/>
        <v/>
      </c>
      <c r="BI434" s="39" t="str">
        <f t="shared" si="26"/>
        <v/>
      </c>
      <c r="BJ434" t="str">
        <f t="shared" si="27"/>
        <v/>
      </c>
      <c r="BK434" s="39" t="str">
        <f>IF(A434="","",IF(BI434&lt;&gt;TRUE(),"No specific plan",IF(ISNUMBER(BJ434),IF(BJ434&lt;'Exec Summary'!$C$4,"Resolved before Feb 2027","Resolved after Feb 2027"),"CLIENT INPUT REQUIRED")))</f>
        <v/>
      </c>
    </row>
    <row r="435" spans="1:63" ht="15" customHeight="1" x14ac:dyDescent="0.25">
      <c r="A435" s="40"/>
      <c r="BG435" s="39" t="str">
        <f t="shared" si="24"/>
        <v/>
      </c>
      <c r="BH435" s="39" t="str">
        <f t="shared" si="25"/>
        <v/>
      </c>
      <c r="BI435" s="39" t="str">
        <f t="shared" si="26"/>
        <v/>
      </c>
      <c r="BJ435" t="str">
        <f t="shared" si="27"/>
        <v/>
      </c>
      <c r="BK435" s="39" t="str">
        <f>IF(A435="","",IF(BI435&lt;&gt;TRUE(),"No specific plan",IF(ISNUMBER(BJ435),IF(BJ435&lt;'Exec Summary'!$C$4,"Resolved before Feb 2027","Resolved after Feb 2027"),"CLIENT INPUT REQUIRED")))</f>
        <v/>
      </c>
    </row>
    <row r="436" spans="1:63" ht="15" customHeight="1" x14ac:dyDescent="0.25">
      <c r="A436" s="40"/>
      <c r="BG436" s="39" t="str">
        <f t="shared" si="24"/>
        <v/>
      </c>
      <c r="BH436" s="39" t="str">
        <f t="shared" si="25"/>
        <v/>
      </c>
      <c r="BI436" s="39" t="str">
        <f t="shared" si="26"/>
        <v/>
      </c>
      <c r="BJ436" t="str">
        <f t="shared" si="27"/>
        <v/>
      </c>
      <c r="BK436" s="39" t="str">
        <f>IF(A436="","",IF(BI436&lt;&gt;TRUE(),"No specific plan",IF(ISNUMBER(BJ436),IF(BJ436&lt;'Exec Summary'!$C$4,"Resolved before Feb 2027","Resolved after Feb 2027"),"CLIENT INPUT REQUIRED")))</f>
        <v/>
      </c>
    </row>
    <row r="437" spans="1:63" ht="15" customHeight="1" x14ac:dyDescent="0.25">
      <c r="A437" s="40"/>
      <c r="BG437" s="39" t="str">
        <f t="shared" si="24"/>
        <v/>
      </c>
      <c r="BH437" s="39" t="str">
        <f t="shared" si="25"/>
        <v/>
      </c>
      <c r="BI437" s="39" t="str">
        <f t="shared" si="26"/>
        <v/>
      </c>
      <c r="BJ437" t="str">
        <f t="shared" si="27"/>
        <v/>
      </c>
      <c r="BK437" s="39" t="str">
        <f>IF(A437="","",IF(BI437&lt;&gt;TRUE(),"No specific plan",IF(ISNUMBER(BJ437),IF(BJ437&lt;'Exec Summary'!$C$4,"Resolved before Feb 2027","Resolved after Feb 2027"),"CLIENT INPUT REQUIRED")))</f>
        <v/>
      </c>
    </row>
    <row r="438" spans="1:63" ht="15" customHeight="1" x14ac:dyDescent="0.25">
      <c r="A438" s="40"/>
      <c r="BG438" s="39" t="str">
        <f t="shared" si="24"/>
        <v/>
      </c>
      <c r="BH438" s="39" t="str">
        <f t="shared" si="25"/>
        <v/>
      </c>
      <c r="BI438" s="39" t="str">
        <f t="shared" si="26"/>
        <v/>
      </c>
      <c r="BJ438" t="str">
        <f t="shared" si="27"/>
        <v/>
      </c>
      <c r="BK438" s="39" t="str">
        <f>IF(A438="","",IF(BI438&lt;&gt;TRUE(),"No specific plan",IF(ISNUMBER(BJ438),IF(BJ438&lt;'Exec Summary'!$C$4,"Resolved before Feb 2027","Resolved after Feb 2027"),"CLIENT INPUT REQUIRED")))</f>
        <v/>
      </c>
    </row>
    <row r="439" spans="1:63" ht="15" customHeight="1" x14ac:dyDescent="0.25">
      <c r="A439" s="40"/>
      <c r="BG439" s="39" t="str">
        <f t="shared" si="24"/>
        <v/>
      </c>
      <c r="BH439" s="39" t="str">
        <f t="shared" si="25"/>
        <v/>
      </c>
      <c r="BI439" s="39" t="str">
        <f t="shared" si="26"/>
        <v/>
      </c>
      <c r="BJ439" t="str">
        <f t="shared" si="27"/>
        <v/>
      </c>
      <c r="BK439" s="39" t="str">
        <f>IF(A439="","",IF(BI439&lt;&gt;TRUE(),"No specific plan",IF(ISNUMBER(BJ439),IF(BJ439&lt;'Exec Summary'!$C$4,"Resolved before Feb 2027","Resolved after Feb 2027"),"CLIENT INPUT REQUIRED")))</f>
        <v/>
      </c>
    </row>
    <row r="440" spans="1:63" ht="15" customHeight="1" x14ac:dyDescent="0.25">
      <c r="A440" s="40"/>
      <c r="BG440" s="39" t="str">
        <f t="shared" si="24"/>
        <v/>
      </c>
      <c r="BH440" s="39" t="str">
        <f t="shared" si="25"/>
        <v/>
      </c>
      <c r="BI440" s="39" t="str">
        <f t="shared" si="26"/>
        <v/>
      </c>
      <c r="BJ440" t="str">
        <f t="shared" si="27"/>
        <v/>
      </c>
      <c r="BK440" s="39" t="str">
        <f>IF(A440="","",IF(BI440&lt;&gt;TRUE(),"No specific plan",IF(ISNUMBER(BJ440),IF(BJ440&lt;'Exec Summary'!$C$4,"Resolved before Feb 2027","Resolved after Feb 2027"),"CLIENT INPUT REQUIRED")))</f>
        <v/>
      </c>
    </row>
    <row r="441" spans="1:63" ht="15" customHeight="1" x14ac:dyDescent="0.25">
      <c r="A441" s="40"/>
      <c r="BG441" s="39" t="str">
        <f t="shared" si="24"/>
        <v/>
      </c>
      <c r="BH441" s="39" t="str">
        <f t="shared" si="25"/>
        <v/>
      </c>
      <c r="BI441" s="39" t="str">
        <f t="shared" si="26"/>
        <v/>
      </c>
      <c r="BJ441" t="str">
        <f t="shared" si="27"/>
        <v/>
      </c>
      <c r="BK441" s="39" t="str">
        <f>IF(A441="","",IF(BI441&lt;&gt;TRUE(),"No specific plan",IF(ISNUMBER(BJ441),IF(BJ441&lt;'Exec Summary'!$C$4,"Resolved before Feb 2027","Resolved after Feb 2027"),"CLIENT INPUT REQUIRED")))</f>
        <v/>
      </c>
    </row>
    <row r="442" spans="1:63" ht="15" customHeight="1" x14ac:dyDescent="0.25">
      <c r="A442" s="40"/>
      <c r="BG442" s="39" t="str">
        <f t="shared" si="24"/>
        <v/>
      </c>
      <c r="BH442" s="39" t="str">
        <f t="shared" si="25"/>
        <v/>
      </c>
      <c r="BI442" s="39" t="str">
        <f t="shared" si="26"/>
        <v/>
      </c>
      <c r="BJ442" t="str">
        <f t="shared" si="27"/>
        <v/>
      </c>
      <c r="BK442" s="39" t="str">
        <f>IF(A442="","",IF(BI442&lt;&gt;TRUE(),"No specific plan",IF(ISNUMBER(BJ442),IF(BJ442&lt;'Exec Summary'!$C$4,"Resolved before Feb 2027","Resolved after Feb 2027"),"CLIENT INPUT REQUIRED")))</f>
        <v/>
      </c>
    </row>
    <row r="443" spans="1:63" ht="15" customHeight="1" x14ac:dyDescent="0.25">
      <c r="A443" s="40"/>
      <c r="BG443" s="39" t="str">
        <f t="shared" si="24"/>
        <v/>
      </c>
      <c r="BH443" s="39" t="str">
        <f t="shared" si="25"/>
        <v/>
      </c>
      <c r="BI443" s="39" t="str">
        <f t="shared" si="26"/>
        <v/>
      </c>
      <c r="BJ443" t="str">
        <f t="shared" si="27"/>
        <v/>
      </c>
      <c r="BK443" s="39" t="str">
        <f>IF(A443="","",IF(BI443&lt;&gt;TRUE(),"No specific plan",IF(ISNUMBER(BJ443),IF(BJ443&lt;'Exec Summary'!$C$4,"Resolved before Feb 2027","Resolved after Feb 2027"),"CLIENT INPUT REQUIRED")))</f>
        <v/>
      </c>
    </row>
    <row r="444" spans="1:63" ht="15" customHeight="1" x14ac:dyDescent="0.25">
      <c r="A444" s="40"/>
      <c r="BG444" s="39" t="str">
        <f t="shared" si="24"/>
        <v/>
      </c>
      <c r="BH444" s="39" t="str">
        <f t="shared" si="25"/>
        <v/>
      </c>
      <c r="BI444" s="39" t="str">
        <f t="shared" si="26"/>
        <v/>
      </c>
      <c r="BJ444" t="str">
        <f t="shared" si="27"/>
        <v/>
      </c>
      <c r="BK444" s="39" t="str">
        <f>IF(A444="","",IF(BI444&lt;&gt;TRUE(),"No specific plan",IF(ISNUMBER(BJ444),IF(BJ444&lt;'Exec Summary'!$C$4,"Resolved before Feb 2027","Resolved after Feb 2027"),"CLIENT INPUT REQUIRED")))</f>
        <v/>
      </c>
    </row>
    <row r="445" spans="1:63" ht="15" customHeight="1" x14ac:dyDescent="0.25">
      <c r="A445" s="40"/>
      <c r="BG445" s="39" t="str">
        <f t="shared" si="24"/>
        <v/>
      </c>
      <c r="BH445" s="39" t="str">
        <f t="shared" si="25"/>
        <v/>
      </c>
      <c r="BI445" s="39" t="str">
        <f t="shared" si="26"/>
        <v/>
      </c>
      <c r="BJ445" t="str">
        <f t="shared" si="27"/>
        <v/>
      </c>
      <c r="BK445" s="39" t="str">
        <f>IF(A445="","",IF(BI445&lt;&gt;TRUE(),"No specific plan",IF(ISNUMBER(BJ445),IF(BJ445&lt;'Exec Summary'!$C$4,"Resolved before Feb 2027","Resolved after Feb 2027"),"CLIENT INPUT REQUIRED")))</f>
        <v/>
      </c>
    </row>
    <row r="446" spans="1:63" ht="15" customHeight="1" x14ac:dyDescent="0.25">
      <c r="A446" s="40"/>
      <c r="BG446" s="39" t="str">
        <f t="shared" si="24"/>
        <v/>
      </c>
      <c r="BH446" s="39" t="str">
        <f t="shared" si="25"/>
        <v/>
      </c>
      <c r="BI446" s="39" t="str">
        <f t="shared" si="26"/>
        <v/>
      </c>
      <c r="BJ446" t="str">
        <f t="shared" si="27"/>
        <v/>
      </c>
      <c r="BK446" s="39" t="str">
        <f>IF(A446="","",IF(BI446&lt;&gt;TRUE(),"No specific plan",IF(ISNUMBER(BJ446),IF(BJ446&lt;'Exec Summary'!$C$4,"Resolved before Feb 2027","Resolved after Feb 2027"),"CLIENT INPUT REQUIRED")))</f>
        <v/>
      </c>
    </row>
    <row r="447" spans="1:63" ht="15" customHeight="1" x14ac:dyDescent="0.25">
      <c r="A447" s="40"/>
      <c r="BG447" s="39" t="str">
        <f t="shared" si="24"/>
        <v/>
      </c>
      <c r="BH447" s="39" t="str">
        <f t="shared" si="25"/>
        <v/>
      </c>
      <c r="BI447" s="39" t="str">
        <f t="shared" si="26"/>
        <v/>
      </c>
      <c r="BJ447" t="str">
        <f t="shared" si="27"/>
        <v/>
      </c>
      <c r="BK447" s="39" t="str">
        <f>IF(A447="","",IF(BI447&lt;&gt;TRUE(),"No specific plan",IF(ISNUMBER(BJ447),IF(BJ447&lt;'Exec Summary'!$C$4,"Resolved before Feb 2027","Resolved after Feb 2027"),"CLIENT INPUT REQUIRED")))</f>
        <v/>
      </c>
    </row>
    <row r="448" spans="1:63" ht="15" customHeight="1" x14ac:dyDescent="0.25">
      <c r="A448" s="40"/>
      <c r="BG448" s="39" t="str">
        <f t="shared" si="24"/>
        <v/>
      </c>
      <c r="BH448" s="39" t="str">
        <f t="shared" si="25"/>
        <v/>
      </c>
      <c r="BI448" s="39" t="str">
        <f t="shared" si="26"/>
        <v/>
      </c>
      <c r="BJ448" t="str">
        <f t="shared" si="27"/>
        <v/>
      </c>
      <c r="BK448" s="39" t="str">
        <f>IF(A448="","",IF(BI448&lt;&gt;TRUE(),"No specific plan",IF(ISNUMBER(BJ448),IF(BJ448&lt;'Exec Summary'!$C$4,"Resolved before Feb 2027","Resolved after Feb 2027"),"CLIENT INPUT REQUIRED")))</f>
        <v/>
      </c>
    </row>
    <row r="449" spans="1:63" ht="15" customHeight="1" x14ac:dyDescent="0.25">
      <c r="A449" s="40"/>
      <c r="BG449" s="39" t="str">
        <f t="shared" si="24"/>
        <v/>
      </c>
      <c r="BH449" s="39" t="str">
        <f t="shared" si="25"/>
        <v/>
      </c>
      <c r="BI449" s="39" t="str">
        <f t="shared" si="26"/>
        <v/>
      </c>
      <c r="BJ449" t="str">
        <f t="shared" si="27"/>
        <v/>
      </c>
      <c r="BK449" s="39" t="str">
        <f>IF(A449="","",IF(BI449&lt;&gt;TRUE(),"No specific plan",IF(ISNUMBER(BJ449),IF(BJ449&lt;'Exec Summary'!$C$4,"Resolved before Feb 2027","Resolved after Feb 2027"),"CLIENT INPUT REQUIRED")))</f>
        <v/>
      </c>
    </row>
    <row r="450" spans="1:63" ht="15" customHeight="1" x14ac:dyDescent="0.25">
      <c r="A450" s="40"/>
      <c r="BG450" s="39" t="str">
        <f t="shared" si="24"/>
        <v/>
      </c>
      <c r="BH450" s="39" t="str">
        <f t="shared" si="25"/>
        <v/>
      </c>
      <c r="BI450" s="39" t="str">
        <f t="shared" si="26"/>
        <v/>
      </c>
      <c r="BJ450" t="str">
        <f t="shared" si="27"/>
        <v/>
      </c>
      <c r="BK450" s="39" t="str">
        <f>IF(A450="","",IF(BI450&lt;&gt;TRUE(),"No specific plan",IF(ISNUMBER(BJ450),IF(BJ450&lt;'Exec Summary'!$C$4,"Resolved before Feb 2027","Resolved after Feb 2027"),"CLIENT INPUT REQUIRED")))</f>
        <v/>
      </c>
    </row>
    <row r="451" spans="1:63" ht="15" customHeight="1" x14ac:dyDescent="0.25">
      <c r="A451" s="40"/>
      <c r="BG451" s="39" t="str">
        <f t="shared" si="24"/>
        <v/>
      </c>
      <c r="BH451" s="39" t="str">
        <f t="shared" si="25"/>
        <v/>
      </c>
      <c r="BI451" s="39" t="str">
        <f t="shared" si="26"/>
        <v/>
      </c>
      <c r="BJ451" t="str">
        <f t="shared" si="27"/>
        <v/>
      </c>
      <c r="BK451" s="39" t="str">
        <f>IF(A451="","",IF(BI451&lt;&gt;TRUE(),"No specific plan",IF(ISNUMBER(BJ451),IF(BJ451&lt;'Exec Summary'!$C$4,"Resolved before Feb 2027","Resolved after Feb 2027"),"CLIENT INPUT REQUIRED")))</f>
        <v/>
      </c>
    </row>
    <row r="452" spans="1:63" ht="15" customHeight="1" x14ac:dyDescent="0.25">
      <c r="A452" s="40"/>
      <c r="BG452" s="39" t="str">
        <f t="shared" ref="BG452:BG515" si="28">IF(A452="","",AND(TRIM(G452&amp;"")&lt;&gt;"",UPPER(TRIM(G452&amp;""))&lt;&gt;"NO"))</f>
        <v/>
      </c>
      <c r="BH452" s="39" t="str">
        <f t="shared" ref="BH452:BH515" si="29">IF(J452="","",IF(ISNUMBER(SEARCH("absen",J452)),"Absence of Drainage Network",IF(OR(ISNUMBER(SEARCH("design",J452)),ISNUMBER(SEARCH("capacity",J452))),"Inadequate Design Capacity",IF(OR(ISNUMBER(SEARCH("upgrade",J452)),ISNUMBER(SEARCH("network",J452)),ISNUMBER(SEARCH("topog",J452)),ISNUMBER(SEARCH("road",J452))),"Topography &amp; Road Engineering","CHECK - map manually"))))</f>
        <v/>
      </c>
      <c r="BI452" s="39" t="str">
        <f t="shared" ref="BI452:BI515" si="30">IF(A452="","",AND(UPPER(TRIM(BF452&amp;""))="IDD",OR(TRIM(AN452&amp;"")&lt;&gt;"",TRIM(AY452&amp;"")&lt;&gt;"",TRIM(AZ452&amp;"")&lt;&gt;"")))</f>
        <v/>
      </c>
      <c r="BJ452" t="str">
        <f t="shared" ref="BJ452:BJ515" si="31">IF(A452="","",IF(ISNUMBER(AZ452),AZ452,"CLIENT INPUT REQUIRED"))</f>
        <v/>
      </c>
      <c r="BK452" s="39" t="str">
        <f>IF(A452="","",IF(BI452&lt;&gt;TRUE(),"No specific plan",IF(ISNUMBER(BJ452),IF(BJ452&lt;'Exec Summary'!$C$4,"Resolved before Feb 2027","Resolved after Feb 2027"),"CLIENT INPUT REQUIRED")))</f>
        <v/>
      </c>
    </row>
    <row r="453" spans="1:63" ht="15" customHeight="1" x14ac:dyDescent="0.25">
      <c r="A453" s="40"/>
      <c r="BG453" s="39" t="str">
        <f t="shared" si="28"/>
        <v/>
      </c>
      <c r="BH453" s="39" t="str">
        <f t="shared" si="29"/>
        <v/>
      </c>
      <c r="BI453" s="39" t="str">
        <f t="shared" si="30"/>
        <v/>
      </c>
      <c r="BJ453" t="str">
        <f t="shared" si="31"/>
        <v/>
      </c>
      <c r="BK453" s="39" t="str">
        <f>IF(A453="","",IF(BI453&lt;&gt;TRUE(),"No specific plan",IF(ISNUMBER(BJ453),IF(BJ453&lt;'Exec Summary'!$C$4,"Resolved before Feb 2027","Resolved after Feb 2027"),"CLIENT INPUT REQUIRED")))</f>
        <v/>
      </c>
    </row>
    <row r="454" spans="1:63" ht="15" customHeight="1" x14ac:dyDescent="0.25">
      <c r="A454" s="40"/>
      <c r="BG454" s="39" t="str">
        <f t="shared" si="28"/>
        <v/>
      </c>
      <c r="BH454" s="39" t="str">
        <f t="shared" si="29"/>
        <v/>
      </c>
      <c r="BI454" s="39" t="str">
        <f t="shared" si="30"/>
        <v/>
      </c>
      <c r="BJ454" t="str">
        <f t="shared" si="31"/>
        <v/>
      </c>
      <c r="BK454" s="39" t="str">
        <f>IF(A454="","",IF(BI454&lt;&gt;TRUE(),"No specific plan",IF(ISNUMBER(BJ454),IF(BJ454&lt;'Exec Summary'!$C$4,"Resolved before Feb 2027","Resolved after Feb 2027"),"CLIENT INPUT REQUIRED")))</f>
        <v/>
      </c>
    </row>
    <row r="455" spans="1:63" ht="15" customHeight="1" x14ac:dyDescent="0.25">
      <c r="A455" s="40"/>
      <c r="BG455" s="39" t="str">
        <f t="shared" si="28"/>
        <v/>
      </c>
      <c r="BH455" s="39" t="str">
        <f t="shared" si="29"/>
        <v/>
      </c>
      <c r="BI455" s="39" t="str">
        <f t="shared" si="30"/>
        <v/>
      </c>
      <c r="BJ455" t="str">
        <f t="shared" si="31"/>
        <v/>
      </c>
      <c r="BK455" s="39" t="str">
        <f>IF(A455="","",IF(BI455&lt;&gt;TRUE(),"No specific plan",IF(ISNUMBER(BJ455),IF(BJ455&lt;'Exec Summary'!$C$4,"Resolved before Feb 2027","Resolved after Feb 2027"),"CLIENT INPUT REQUIRED")))</f>
        <v/>
      </c>
    </row>
    <row r="456" spans="1:63" ht="15" customHeight="1" x14ac:dyDescent="0.25">
      <c r="A456" s="40"/>
      <c r="BG456" s="39" t="str">
        <f t="shared" si="28"/>
        <v/>
      </c>
      <c r="BH456" s="39" t="str">
        <f t="shared" si="29"/>
        <v/>
      </c>
      <c r="BI456" s="39" t="str">
        <f t="shared" si="30"/>
        <v/>
      </c>
      <c r="BJ456" t="str">
        <f t="shared" si="31"/>
        <v/>
      </c>
      <c r="BK456" s="39" t="str">
        <f>IF(A456="","",IF(BI456&lt;&gt;TRUE(),"No specific plan",IF(ISNUMBER(BJ456),IF(BJ456&lt;'Exec Summary'!$C$4,"Resolved before Feb 2027","Resolved after Feb 2027"),"CLIENT INPUT REQUIRED")))</f>
        <v/>
      </c>
    </row>
    <row r="457" spans="1:63" ht="15" customHeight="1" x14ac:dyDescent="0.25">
      <c r="A457" s="40"/>
      <c r="BG457" s="39" t="str">
        <f t="shared" si="28"/>
        <v/>
      </c>
      <c r="BH457" s="39" t="str">
        <f t="shared" si="29"/>
        <v/>
      </c>
      <c r="BI457" s="39" t="str">
        <f t="shared" si="30"/>
        <v/>
      </c>
      <c r="BJ457" t="str">
        <f t="shared" si="31"/>
        <v/>
      </c>
      <c r="BK457" s="39" t="str">
        <f>IF(A457="","",IF(BI457&lt;&gt;TRUE(),"No specific plan",IF(ISNUMBER(BJ457),IF(BJ457&lt;'Exec Summary'!$C$4,"Resolved before Feb 2027","Resolved after Feb 2027"),"CLIENT INPUT REQUIRED")))</f>
        <v/>
      </c>
    </row>
    <row r="458" spans="1:63" ht="15" customHeight="1" x14ac:dyDescent="0.25">
      <c r="A458" s="40"/>
      <c r="BG458" s="39" t="str">
        <f t="shared" si="28"/>
        <v/>
      </c>
      <c r="BH458" s="39" t="str">
        <f t="shared" si="29"/>
        <v/>
      </c>
      <c r="BI458" s="39" t="str">
        <f t="shared" si="30"/>
        <v/>
      </c>
      <c r="BJ458" t="str">
        <f t="shared" si="31"/>
        <v/>
      </c>
      <c r="BK458" s="39" t="str">
        <f>IF(A458="","",IF(BI458&lt;&gt;TRUE(),"No specific plan",IF(ISNUMBER(BJ458),IF(BJ458&lt;'Exec Summary'!$C$4,"Resolved before Feb 2027","Resolved after Feb 2027"),"CLIENT INPUT REQUIRED")))</f>
        <v/>
      </c>
    </row>
    <row r="459" spans="1:63" ht="15" customHeight="1" x14ac:dyDescent="0.25">
      <c r="A459" s="40"/>
      <c r="BG459" s="39" t="str">
        <f t="shared" si="28"/>
        <v/>
      </c>
      <c r="BH459" s="39" t="str">
        <f t="shared" si="29"/>
        <v/>
      </c>
      <c r="BI459" s="39" t="str">
        <f t="shared" si="30"/>
        <v/>
      </c>
      <c r="BJ459" t="str">
        <f t="shared" si="31"/>
        <v/>
      </c>
      <c r="BK459" s="39" t="str">
        <f>IF(A459="","",IF(BI459&lt;&gt;TRUE(),"No specific plan",IF(ISNUMBER(BJ459),IF(BJ459&lt;'Exec Summary'!$C$4,"Resolved before Feb 2027","Resolved after Feb 2027"),"CLIENT INPUT REQUIRED")))</f>
        <v/>
      </c>
    </row>
    <row r="460" spans="1:63" ht="15" customHeight="1" x14ac:dyDescent="0.25">
      <c r="A460" s="40"/>
      <c r="BG460" s="39" t="str">
        <f t="shared" si="28"/>
        <v/>
      </c>
      <c r="BH460" s="39" t="str">
        <f t="shared" si="29"/>
        <v/>
      </c>
      <c r="BI460" s="39" t="str">
        <f t="shared" si="30"/>
        <v/>
      </c>
      <c r="BJ460" t="str">
        <f t="shared" si="31"/>
        <v/>
      </c>
      <c r="BK460" s="39" t="str">
        <f>IF(A460="","",IF(BI460&lt;&gt;TRUE(),"No specific plan",IF(ISNUMBER(BJ460),IF(BJ460&lt;'Exec Summary'!$C$4,"Resolved before Feb 2027","Resolved after Feb 2027"),"CLIENT INPUT REQUIRED")))</f>
        <v/>
      </c>
    </row>
    <row r="461" spans="1:63" ht="15" customHeight="1" x14ac:dyDescent="0.25">
      <c r="A461" s="40"/>
      <c r="BG461" s="39" t="str">
        <f t="shared" si="28"/>
        <v/>
      </c>
      <c r="BH461" s="39" t="str">
        <f t="shared" si="29"/>
        <v/>
      </c>
      <c r="BI461" s="39" t="str">
        <f t="shared" si="30"/>
        <v/>
      </c>
      <c r="BJ461" t="str">
        <f t="shared" si="31"/>
        <v/>
      </c>
      <c r="BK461" s="39" t="str">
        <f>IF(A461="","",IF(BI461&lt;&gt;TRUE(),"No specific plan",IF(ISNUMBER(BJ461),IF(BJ461&lt;'Exec Summary'!$C$4,"Resolved before Feb 2027","Resolved after Feb 2027"),"CLIENT INPUT REQUIRED")))</f>
        <v/>
      </c>
    </row>
    <row r="462" spans="1:63" ht="15" customHeight="1" x14ac:dyDescent="0.25">
      <c r="A462" s="40"/>
      <c r="BG462" s="39" t="str">
        <f t="shared" si="28"/>
        <v/>
      </c>
      <c r="BH462" s="39" t="str">
        <f t="shared" si="29"/>
        <v/>
      </c>
      <c r="BI462" s="39" t="str">
        <f t="shared" si="30"/>
        <v/>
      </c>
      <c r="BJ462" t="str">
        <f t="shared" si="31"/>
        <v/>
      </c>
      <c r="BK462" s="39" t="str">
        <f>IF(A462="","",IF(BI462&lt;&gt;TRUE(),"No specific plan",IF(ISNUMBER(BJ462),IF(BJ462&lt;'Exec Summary'!$C$4,"Resolved before Feb 2027","Resolved after Feb 2027"),"CLIENT INPUT REQUIRED")))</f>
        <v/>
      </c>
    </row>
    <row r="463" spans="1:63" ht="15" customHeight="1" x14ac:dyDescent="0.25">
      <c r="A463" s="40"/>
      <c r="BG463" s="39" t="str">
        <f t="shared" si="28"/>
        <v/>
      </c>
      <c r="BH463" s="39" t="str">
        <f t="shared" si="29"/>
        <v/>
      </c>
      <c r="BI463" s="39" t="str">
        <f t="shared" si="30"/>
        <v/>
      </c>
      <c r="BJ463" t="str">
        <f t="shared" si="31"/>
        <v/>
      </c>
      <c r="BK463" s="39" t="str">
        <f>IF(A463="","",IF(BI463&lt;&gt;TRUE(),"No specific plan",IF(ISNUMBER(BJ463),IF(BJ463&lt;'Exec Summary'!$C$4,"Resolved before Feb 2027","Resolved after Feb 2027"),"CLIENT INPUT REQUIRED")))</f>
        <v/>
      </c>
    </row>
    <row r="464" spans="1:63" ht="15" customHeight="1" x14ac:dyDescent="0.25">
      <c r="A464" s="40"/>
      <c r="BG464" s="39" t="str">
        <f t="shared" si="28"/>
        <v/>
      </c>
      <c r="BH464" s="39" t="str">
        <f t="shared" si="29"/>
        <v/>
      </c>
      <c r="BI464" s="39" t="str">
        <f t="shared" si="30"/>
        <v/>
      </c>
      <c r="BJ464" t="str">
        <f t="shared" si="31"/>
        <v/>
      </c>
      <c r="BK464" s="39" t="str">
        <f>IF(A464="","",IF(BI464&lt;&gt;TRUE(),"No specific plan",IF(ISNUMBER(BJ464),IF(BJ464&lt;'Exec Summary'!$C$4,"Resolved before Feb 2027","Resolved after Feb 2027"),"CLIENT INPUT REQUIRED")))</f>
        <v/>
      </c>
    </row>
    <row r="465" spans="1:63" ht="15" customHeight="1" x14ac:dyDescent="0.25">
      <c r="A465" s="40"/>
      <c r="BG465" s="39" t="str">
        <f t="shared" si="28"/>
        <v/>
      </c>
      <c r="BH465" s="39" t="str">
        <f t="shared" si="29"/>
        <v/>
      </c>
      <c r="BI465" s="39" t="str">
        <f t="shared" si="30"/>
        <v/>
      </c>
      <c r="BJ465" t="str">
        <f t="shared" si="31"/>
        <v/>
      </c>
      <c r="BK465" s="39" t="str">
        <f>IF(A465="","",IF(BI465&lt;&gt;TRUE(),"No specific plan",IF(ISNUMBER(BJ465),IF(BJ465&lt;'Exec Summary'!$C$4,"Resolved before Feb 2027","Resolved after Feb 2027"),"CLIENT INPUT REQUIRED")))</f>
        <v/>
      </c>
    </row>
    <row r="466" spans="1:63" ht="15" customHeight="1" x14ac:dyDescent="0.25">
      <c r="A466" s="40"/>
      <c r="BG466" s="39" t="str">
        <f t="shared" si="28"/>
        <v/>
      </c>
      <c r="BH466" s="39" t="str">
        <f t="shared" si="29"/>
        <v/>
      </c>
      <c r="BI466" s="39" t="str">
        <f t="shared" si="30"/>
        <v/>
      </c>
      <c r="BJ466" t="str">
        <f t="shared" si="31"/>
        <v/>
      </c>
      <c r="BK466" s="39" t="str">
        <f>IF(A466="","",IF(BI466&lt;&gt;TRUE(),"No specific plan",IF(ISNUMBER(BJ466),IF(BJ466&lt;'Exec Summary'!$C$4,"Resolved before Feb 2027","Resolved after Feb 2027"),"CLIENT INPUT REQUIRED")))</f>
        <v/>
      </c>
    </row>
    <row r="467" spans="1:63" ht="15" customHeight="1" x14ac:dyDescent="0.25">
      <c r="A467" s="40"/>
      <c r="BG467" s="39" t="str">
        <f t="shared" si="28"/>
        <v/>
      </c>
      <c r="BH467" s="39" t="str">
        <f t="shared" si="29"/>
        <v/>
      </c>
      <c r="BI467" s="39" t="str">
        <f t="shared" si="30"/>
        <v/>
      </c>
      <c r="BJ467" t="str">
        <f t="shared" si="31"/>
        <v/>
      </c>
      <c r="BK467" s="39" t="str">
        <f>IF(A467="","",IF(BI467&lt;&gt;TRUE(),"No specific plan",IF(ISNUMBER(BJ467),IF(BJ467&lt;'Exec Summary'!$C$4,"Resolved before Feb 2027","Resolved after Feb 2027"),"CLIENT INPUT REQUIRED")))</f>
        <v/>
      </c>
    </row>
    <row r="468" spans="1:63" ht="15" customHeight="1" x14ac:dyDescent="0.25">
      <c r="A468" s="40"/>
      <c r="BG468" s="39" t="str">
        <f t="shared" si="28"/>
        <v/>
      </c>
      <c r="BH468" s="39" t="str">
        <f t="shared" si="29"/>
        <v/>
      </c>
      <c r="BI468" s="39" t="str">
        <f t="shared" si="30"/>
        <v/>
      </c>
      <c r="BJ468" t="str">
        <f t="shared" si="31"/>
        <v/>
      </c>
      <c r="BK468" s="39" t="str">
        <f>IF(A468="","",IF(BI468&lt;&gt;TRUE(),"No specific plan",IF(ISNUMBER(BJ468),IF(BJ468&lt;'Exec Summary'!$C$4,"Resolved before Feb 2027","Resolved after Feb 2027"),"CLIENT INPUT REQUIRED")))</f>
        <v/>
      </c>
    </row>
    <row r="469" spans="1:63" ht="15" customHeight="1" x14ac:dyDescent="0.25">
      <c r="A469" s="40"/>
      <c r="BG469" s="39" t="str">
        <f t="shared" si="28"/>
        <v/>
      </c>
      <c r="BH469" s="39" t="str">
        <f t="shared" si="29"/>
        <v/>
      </c>
      <c r="BI469" s="39" t="str">
        <f t="shared" si="30"/>
        <v/>
      </c>
      <c r="BJ469" t="str">
        <f t="shared" si="31"/>
        <v/>
      </c>
      <c r="BK469" s="39" t="str">
        <f>IF(A469="","",IF(BI469&lt;&gt;TRUE(),"No specific plan",IF(ISNUMBER(BJ469),IF(BJ469&lt;'Exec Summary'!$C$4,"Resolved before Feb 2027","Resolved after Feb 2027"),"CLIENT INPUT REQUIRED")))</f>
        <v/>
      </c>
    </row>
    <row r="470" spans="1:63" ht="15" customHeight="1" x14ac:dyDescent="0.25">
      <c r="A470" s="40"/>
      <c r="BG470" s="39" t="str">
        <f t="shared" si="28"/>
        <v/>
      </c>
      <c r="BH470" s="39" t="str">
        <f t="shared" si="29"/>
        <v/>
      </c>
      <c r="BI470" s="39" t="str">
        <f t="shared" si="30"/>
        <v/>
      </c>
      <c r="BJ470" t="str">
        <f t="shared" si="31"/>
        <v/>
      </c>
      <c r="BK470" s="39" t="str">
        <f>IF(A470="","",IF(BI470&lt;&gt;TRUE(),"No specific plan",IF(ISNUMBER(BJ470),IF(BJ470&lt;'Exec Summary'!$C$4,"Resolved before Feb 2027","Resolved after Feb 2027"),"CLIENT INPUT REQUIRED")))</f>
        <v/>
      </c>
    </row>
    <row r="471" spans="1:63" ht="15" customHeight="1" x14ac:dyDescent="0.25">
      <c r="A471" s="40"/>
      <c r="BG471" s="39" t="str">
        <f t="shared" si="28"/>
        <v/>
      </c>
      <c r="BH471" s="39" t="str">
        <f t="shared" si="29"/>
        <v/>
      </c>
      <c r="BI471" s="39" t="str">
        <f t="shared" si="30"/>
        <v/>
      </c>
      <c r="BJ471" t="str">
        <f t="shared" si="31"/>
        <v/>
      </c>
      <c r="BK471" s="39" t="str">
        <f>IF(A471="","",IF(BI471&lt;&gt;TRUE(),"No specific plan",IF(ISNUMBER(BJ471),IF(BJ471&lt;'Exec Summary'!$C$4,"Resolved before Feb 2027","Resolved after Feb 2027"),"CLIENT INPUT REQUIRED")))</f>
        <v/>
      </c>
    </row>
    <row r="472" spans="1:63" ht="15" customHeight="1" x14ac:dyDescent="0.25">
      <c r="A472" s="40"/>
      <c r="BG472" s="39" t="str">
        <f t="shared" si="28"/>
        <v/>
      </c>
      <c r="BH472" s="39" t="str">
        <f t="shared" si="29"/>
        <v/>
      </c>
      <c r="BI472" s="39" t="str">
        <f t="shared" si="30"/>
        <v/>
      </c>
      <c r="BJ472" t="str">
        <f t="shared" si="31"/>
        <v/>
      </c>
      <c r="BK472" s="39" t="str">
        <f>IF(A472="","",IF(BI472&lt;&gt;TRUE(),"No specific plan",IF(ISNUMBER(BJ472),IF(BJ472&lt;'Exec Summary'!$C$4,"Resolved before Feb 2027","Resolved after Feb 2027"),"CLIENT INPUT REQUIRED")))</f>
        <v/>
      </c>
    </row>
    <row r="473" spans="1:63" ht="15" customHeight="1" x14ac:dyDescent="0.25">
      <c r="A473" s="40"/>
      <c r="BG473" s="39" t="str">
        <f t="shared" si="28"/>
        <v/>
      </c>
      <c r="BH473" s="39" t="str">
        <f t="shared" si="29"/>
        <v/>
      </c>
      <c r="BI473" s="39" t="str">
        <f t="shared" si="30"/>
        <v/>
      </c>
      <c r="BJ473" t="str">
        <f t="shared" si="31"/>
        <v/>
      </c>
      <c r="BK473" s="39" t="str">
        <f>IF(A473="","",IF(BI473&lt;&gt;TRUE(),"No specific plan",IF(ISNUMBER(BJ473),IF(BJ473&lt;'Exec Summary'!$C$4,"Resolved before Feb 2027","Resolved after Feb 2027"),"CLIENT INPUT REQUIRED")))</f>
        <v/>
      </c>
    </row>
    <row r="474" spans="1:63" ht="15" customHeight="1" x14ac:dyDescent="0.25">
      <c r="A474" s="40"/>
      <c r="BG474" s="39" t="str">
        <f t="shared" si="28"/>
        <v/>
      </c>
      <c r="BH474" s="39" t="str">
        <f t="shared" si="29"/>
        <v/>
      </c>
      <c r="BI474" s="39" t="str">
        <f t="shared" si="30"/>
        <v/>
      </c>
      <c r="BJ474" t="str">
        <f t="shared" si="31"/>
        <v/>
      </c>
      <c r="BK474" s="39" t="str">
        <f>IF(A474="","",IF(BI474&lt;&gt;TRUE(),"No specific plan",IF(ISNUMBER(BJ474),IF(BJ474&lt;'Exec Summary'!$C$4,"Resolved before Feb 2027","Resolved after Feb 2027"),"CLIENT INPUT REQUIRED")))</f>
        <v/>
      </c>
    </row>
    <row r="475" spans="1:63" ht="15" customHeight="1" x14ac:dyDescent="0.25">
      <c r="A475" s="40"/>
      <c r="BG475" s="39" t="str">
        <f t="shared" si="28"/>
        <v/>
      </c>
      <c r="BH475" s="39" t="str">
        <f t="shared" si="29"/>
        <v/>
      </c>
      <c r="BI475" s="39" t="str">
        <f t="shared" si="30"/>
        <v/>
      </c>
      <c r="BJ475" t="str">
        <f t="shared" si="31"/>
        <v/>
      </c>
      <c r="BK475" s="39" t="str">
        <f>IF(A475="","",IF(BI475&lt;&gt;TRUE(),"No specific plan",IF(ISNUMBER(BJ475),IF(BJ475&lt;'Exec Summary'!$C$4,"Resolved before Feb 2027","Resolved after Feb 2027"),"CLIENT INPUT REQUIRED")))</f>
        <v/>
      </c>
    </row>
    <row r="476" spans="1:63" ht="15" customHeight="1" x14ac:dyDescent="0.25">
      <c r="A476" s="40"/>
      <c r="BG476" s="39" t="str">
        <f t="shared" si="28"/>
        <v/>
      </c>
      <c r="BH476" s="39" t="str">
        <f t="shared" si="29"/>
        <v/>
      </c>
      <c r="BI476" s="39" t="str">
        <f t="shared" si="30"/>
        <v/>
      </c>
      <c r="BJ476" t="str">
        <f t="shared" si="31"/>
        <v/>
      </c>
      <c r="BK476" s="39" t="str">
        <f>IF(A476="","",IF(BI476&lt;&gt;TRUE(),"No specific plan",IF(ISNUMBER(BJ476),IF(BJ476&lt;'Exec Summary'!$C$4,"Resolved before Feb 2027","Resolved after Feb 2027"),"CLIENT INPUT REQUIRED")))</f>
        <v/>
      </c>
    </row>
    <row r="477" spans="1:63" ht="15" customHeight="1" x14ac:dyDescent="0.25">
      <c r="A477" s="40"/>
      <c r="BG477" s="39" t="str">
        <f t="shared" si="28"/>
        <v/>
      </c>
      <c r="BH477" s="39" t="str">
        <f t="shared" si="29"/>
        <v/>
      </c>
      <c r="BI477" s="39" t="str">
        <f t="shared" si="30"/>
        <v/>
      </c>
      <c r="BJ477" t="str">
        <f t="shared" si="31"/>
        <v/>
      </c>
      <c r="BK477" s="39" t="str">
        <f>IF(A477="","",IF(BI477&lt;&gt;TRUE(),"No specific plan",IF(ISNUMBER(BJ477),IF(BJ477&lt;'Exec Summary'!$C$4,"Resolved before Feb 2027","Resolved after Feb 2027"),"CLIENT INPUT REQUIRED")))</f>
        <v/>
      </c>
    </row>
    <row r="478" spans="1:63" ht="15" customHeight="1" x14ac:dyDescent="0.25">
      <c r="A478" s="40"/>
      <c r="BG478" s="39" t="str">
        <f t="shared" si="28"/>
        <v/>
      </c>
      <c r="BH478" s="39" t="str">
        <f t="shared" si="29"/>
        <v/>
      </c>
      <c r="BI478" s="39" t="str">
        <f t="shared" si="30"/>
        <v/>
      </c>
      <c r="BJ478" t="str">
        <f t="shared" si="31"/>
        <v/>
      </c>
      <c r="BK478" s="39" t="str">
        <f>IF(A478="","",IF(BI478&lt;&gt;TRUE(),"No specific plan",IF(ISNUMBER(BJ478),IF(BJ478&lt;'Exec Summary'!$C$4,"Resolved before Feb 2027","Resolved after Feb 2027"),"CLIENT INPUT REQUIRED")))</f>
        <v/>
      </c>
    </row>
    <row r="479" spans="1:63" ht="15" customHeight="1" x14ac:dyDescent="0.25">
      <c r="A479" s="40"/>
      <c r="BG479" s="39" t="str">
        <f t="shared" si="28"/>
        <v/>
      </c>
      <c r="BH479" s="39" t="str">
        <f t="shared" si="29"/>
        <v/>
      </c>
      <c r="BI479" s="39" t="str">
        <f t="shared" si="30"/>
        <v/>
      </c>
      <c r="BJ479" t="str">
        <f t="shared" si="31"/>
        <v/>
      </c>
      <c r="BK479" s="39" t="str">
        <f>IF(A479="","",IF(BI479&lt;&gt;TRUE(),"No specific plan",IF(ISNUMBER(BJ479),IF(BJ479&lt;'Exec Summary'!$C$4,"Resolved before Feb 2027","Resolved after Feb 2027"),"CLIENT INPUT REQUIRED")))</f>
        <v/>
      </c>
    </row>
    <row r="480" spans="1:63" ht="15" customHeight="1" x14ac:dyDescent="0.25">
      <c r="A480" s="40"/>
      <c r="BG480" s="39" t="str">
        <f t="shared" si="28"/>
        <v/>
      </c>
      <c r="BH480" s="39" t="str">
        <f t="shared" si="29"/>
        <v/>
      </c>
      <c r="BI480" s="39" t="str">
        <f t="shared" si="30"/>
        <v/>
      </c>
      <c r="BJ480" t="str">
        <f t="shared" si="31"/>
        <v/>
      </c>
      <c r="BK480" s="39" t="str">
        <f>IF(A480="","",IF(BI480&lt;&gt;TRUE(),"No specific plan",IF(ISNUMBER(BJ480),IF(BJ480&lt;'Exec Summary'!$C$4,"Resolved before Feb 2027","Resolved after Feb 2027"),"CLIENT INPUT REQUIRED")))</f>
        <v/>
      </c>
    </row>
    <row r="481" spans="1:63" ht="15" customHeight="1" x14ac:dyDescent="0.25">
      <c r="A481" s="40"/>
      <c r="BG481" s="39" t="str">
        <f t="shared" si="28"/>
        <v/>
      </c>
      <c r="BH481" s="39" t="str">
        <f t="shared" si="29"/>
        <v/>
      </c>
      <c r="BI481" s="39" t="str">
        <f t="shared" si="30"/>
        <v/>
      </c>
      <c r="BJ481" t="str">
        <f t="shared" si="31"/>
        <v/>
      </c>
      <c r="BK481" s="39" t="str">
        <f>IF(A481="","",IF(BI481&lt;&gt;TRUE(),"No specific plan",IF(ISNUMBER(BJ481),IF(BJ481&lt;'Exec Summary'!$C$4,"Resolved before Feb 2027","Resolved after Feb 2027"),"CLIENT INPUT REQUIRED")))</f>
        <v/>
      </c>
    </row>
    <row r="482" spans="1:63" ht="15" customHeight="1" x14ac:dyDescent="0.25">
      <c r="A482" s="40"/>
      <c r="BG482" s="39" t="str">
        <f t="shared" si="28"/>
        <v/>
      </c>
      <c r="BH482" s="39" t="str">
        <f t="shared" si="29"/>
        <v/>
      </c>
      <c r="BI482" s="39" t="str">
        <f t="shared" si="30"/>
        <v/>
      </c>
      <c r="BJ482" t="str">
        <f t="shared" si="31"/>
        <v/>
      </c>
      <c r="BK482" s="39" t="str">
        <f>IF(A482="","",IF(BI482&lt;&gt;TRUE(),"No specific plan",IF(ISNUMBER(BJ482),IF(BJ482&lt;'Exec Summary'!$C$4,"Resolved before Feb 2027","Resolved after Feb 2027"),"CLIENT INPUT REQUIRED")))</f>
        <v/>
      </c>
    </row>
    <row r="483" spans="1:63" ht="15" customHeight="1" x14ac:dyDescent="0.25">
      <c r="A483" s="40"/>
      <c r="BG483" s="39" t="str">
        <f t="shared" si="28"/>
        <v/>
      </c>
      <c r="BH483" s="39" t="str">
        <f t="shared" si="29"/>
        <v/>
      </c>
      <c r="BI483" s="39" t="str">
        <f t="shared" si="30"/>
        <v/>
      </c>
      <c r="BJ483" t="str">
        <f t="shared" si="31"/>
        <v/>
      </c>
      <c r="BK483" s="39" t="str">
        <f>IF(A483="","",IF(BI483&lt;&gt;TRUE(),"No specific plan",IF(ISNUMBER(BJ483),IF(BJ483&lt;'Exec Summary'!$C$4,"Resolved before Feb 2027","Resolved after Feb 2027"),"CLIENT INPUT REQUIRED")))</f>
        <v/>
      </c>
    </row>
    <row r="484" spans="1:63" ht="15" customHeight="1" x14ac:dyDescent="0.25">
      <c r="A484" s="40"/>
      <c r="BG484" s="39" t="str">
        <f t="shared" si="28"/>
        <v/>
      </c>
      <c r="BH484" s="39" t="str">
        <f t="shared" si="29"/>
        <v/>
      </c>
      <c r="BI484" s="39" t="str">
        <f t="shared" si="30"/>
        <v/>
      </c>
      <c r="BJ484" t="str">
        <f t="shared" si="31"/>
        <v/>
      </c>
      <c r="BK484" s="39" t="str">
        <f>IF(A484="","",IF(BI484&lt;&gt;TRUE(),"No specific plan",IF(ISNUMBER(BJ484),IF(BJ484&lt;'Exec Summary'!$C$4,"Resolved before Feb 2027","Resolved after Feb 2027"),"CLIENT INPUT REQUIRED")))</f>
        <v/>
      </c>
    </row>
    <row r="485" spans="1:63" ht="15" customHeight="1" x14ac:dyDescent="0.25">
      <c r="A485" s="40"/>
      <c r="BG485" s="39" t="str">
        <f t="shared" si="28"/>
        <v/>
      </c>
      <c r="BH485" s="39" t="str">
        <f t="shared" si="29"/>
        <v/>
      </c>
      <c r="BI485" s="39" t="str">
        <f t="shared" si="30"/>
        <v/>
      </c>
      <c r="BJ485" t="str">
        <f t="shared" si="31"/>
        <v/>
      </c>
      <c r="BK485" s="39" t="str">
        <f>IF(A485="","",IF(BI485&lt;&gt;TRUE(),"No specific plan",IF(ISNUMBER(BJ485),IF(BJ485&lt;'Exec Summary'!$C$4,"Resolved before Feb 2027","Resolved after Feb 2027"),"CLIENT INPUT REQUIRED")))</f>
        <v/>
      </c>
    </row>
    <row r="486" spans="1:63" ht="15" customHeight="1" x14ac:dyDescent="0.25">
      <c r="A486" s="40"/>
      <c r="BG486" s="39" t="str">
        <f t="shared" si="28"/>
        <v/>
      </c>
      <c r="BH486" s="39" t="str">
        <f t="shared" si="29"/>
        <v/>
      </c>
      <c r="BI486" s="39" t="str">
        <f t="shared" si="30"/>
        <v/>
      </c>
      <c r="BJ486" t="str">
        <f t="shared" si="31"/>
        <v/>
      </c>
      <c r="BK486" s="39" t="str">
        <f>IF(A486="","",IF(BI486&lt;&gt;TRUE(),"No specific plan",IF(ISNUMBER(BJ486),IF(BJ486&lt;'Exec Summary'!$C$4,"Resolved before Feb 2027","Resolved after Feb 2027"),"CLIENT INPUT REQUIRED")))</f>
        <v/>
      </c>
    </row>
    <row r="487" spans="1:63" ht="15" customHeight="1" x14ac:dyDescent="0.25">
      <c r="A487" s="40"/>
      <c r="BG487" s="39" t="str">
        <f t="shared" si="28"/>
        <v/>
      </c>
      <c r="BH487" s="39" t="str">
        <f t="shared" si="29"/>
        <v/>
      </c>
      <c r="BI487" s="39" t="str">
        <f t="shared" si="30"/>
        <v/>
      </c>
      <c r="BJ487" t="str">
        <f t="shared" si="31"/>
        <v/>
      </c>
      <c r="BK487" s="39" t="str">
        <f>IF(A487="","",IF(BI487&lt;&gt;TRUE(),"No specific plan",IF(ISNUMBER(BJ487),IF(BJ487&lt;'Exec Summary'!$C$4,"Resolved before Feb 2027","Resolved after Feb 2027"),"CLIENT INPUT REQUIRED")))</f>
        <v/>
      </c>
    </row>
    <row r="488" spans="1:63" ht="15" customHeight="1" x14ac:dyDescent="0.25">
      <c r="A488" s="40"/>
      <c r="BG488" s="39" t="str">
        <f t="shared" si="28"/>
        <v/>
      </c>
      <c r="BH488" s="39" t="str">
        <f t="shared" si="29"/>
        <v/>
      </c>
      <c r="BI488" s="39" t="str">
        <f t="shared" si="30"/>
        <v/>
      </c>
      <c r="BJ488" t="str">
        <f t="shared" si="31"/>
        <v/>
      </c>
      <c r="BK488" s="39" t="str">
        <f>IF(A488="","",IF(BI488&lt;&gt;TRUE(),"No specific plan",IF(ISNUMBER(BJ488),IF(BJ488&lt;'Exec Summary'!$C$4,"Resolved before Feb 2027","Resolved after Feb 2027"),"CLIENT INPUT REQUIRED")))</f>
        <v/>
      </c>
    </row>
    <row r="489" spans="1:63" ht="15" customHeight="1" x14ac:dyDescent="0.25">
      <c r="A489" s="40"/>
      <c r="BG489" s="39" t="str">
        <f t="shared" si="28"/>
        <v/>
      </c>
      <c r="BH489" s="39" t="str">
        <f t="shared" si="29"/>
        <v/>
      </c>
      <c r="BI489" s="39" t="str">
        <f t="shared" si="30"/>
        <v/>
      </c>
      <c r="BJ489" t="str">
        <f t="shared" si="31"/>
        <v/>
      </c>
      <c r="BK489" s="39" t="str">
        <f>IF(A489="","",IF(BI489&lt;&gt;TRUE(),"No specific plan",IF(ISNUMBER(BJ489),IF(BJ489&lt;'Exec Summary'!$C$4,"Resolved before Feb 2027","Resolved after Feb 2027"),"CLIENT INPUT REQUIRED")))</f>
        <v/>
      </c>
    </row>
    <row r="490" spans="1:63" ht="15" customHeight="1" x14ac:dyDescent="0.25">
      <c r="A490" s="40"/>
      <c r="BG490" s="39" t="str">
        <f t="shared" si="28"/>
        <v/>
      </c>
      <c r="BH490" s="39" t="str">
        <f t="shared" si="29"/>
        <v/>
      </c>
      <c r="BI490" s="39" t="str">
        <f t="shared" si="30"/>
        <v/>
      </c>
      <c r="BJ490" t="str">
        <f t="shared" si="31"/>
        <v/>
      </c>
      <c r="BK490" s="39" t="str">
        <f>IF(A490="","",IF(BI490&lt;&gt;TRUE(),"No specific plan",IF(ISNUMBER(BJ490),IF(BJ490&lt;'Exec Summary'!$C$4,"Resolved before Feb 2027","Resolved after Feb 2027"),"CLIENT INPUT REQUIRED")))</f>
        <v/>
      </c>
    </row>
    <row r="491" spans="1:63" ht="15" customHeight="1" x14ac:dyDescent="0.25">
      <c r="A491" s="40"/>
      <c r="BG491" s="39" t="str">
        <f t="shared" si="28"/>
        <v/>
      </c>
      <c r="BH491" s="39" t="str">
        <f t="shared" si="29"/>
        <v/>
      </c>
      <c r="BI491" s="39" t="str">
        <f t="shared" si="30"/>
        <v/>
      </c>
      <c r="BJ491" t="str">
        <f t="shared" si="31"/>
        <v/>
      </c>
      <c r="BK491" s="39" t="str">
        <f>IF(A491="","",IF(BI491&lt;&gt;TRUE(),"No specific plan",IF(ISNUMBER(BJ491),IF(BJ491&lt;'Exec Summary'!$C$4,"Resolved before Feb 2027","Resolved after Feb 2027"),"CLIENT INPUT REQUIRED")))</f>
        <v/>
      </c>
    </row>
    <row r="492" spans="1:63" ht="15" customHeight="1" x14ac:dyDescent="0.25">
      <c r="A492" s="40"/>
      <c r="BG492" s="39" t="str">
        <f t="shared" si="28"/>
        <v/>
      </c>
      <c r="BH492" s="39" t="str">
        <f t="shared" si="29"/>
        <v/>
      </c>
      <c r="BI492" s="39" t="str">
        <f t="shared" si="30"/>
        <v/>
      </c>
      <c r="BJ492" t="str">
        <f t="shared" si="31"/>
        <v/>
      </c>
      <c r="BK492" s="39" t="str">
        <f>IF(A492="","",IF(BI492&lt;&gt;TRUE(),"No specific plan",IF(ISNUMBER(BJ492),IF(BJ492&lt;'Exec Summary'!$C$4,"Resolved before Feb 2027","Resolved after Feb 2027"),"CLIENT INPUT REQUIRED")))</f>
        <v/>
      </c>
    </row>
    <row r="493" spans="1:63" ht="15" customHeight="1" x14ac:dyDescent="0.25">
      <c r="A493" s="40"/>
      <c r="BG493" s="39" t="str">
        <f t="shared" si="28"/>
        <v/>
      </c>
      <c r="BH493" s="39" t="str">
        <f t="shared" si="29"/>
        <v/>
      </c>
      <c r="BI493" s="39" t="str">
        <f t="shared" si="30"/>
        <v/>
      </c>
      <c r="BJ493" t="str">
        <f t="shared" si="31"/>
        <v/>
      </c>
      <c r="BK493" s="39" t="str">
        <f>IF(A493="","",IF(BI493&lt;&gt;TRUE(),"No specific plan",IF(ISNUMBER(BJ493),IF(BJ493&lt;'Exec Summary'!$C$4,"Resolved before Feb 2027","Resolved after Feb 2027"),"CLIENT INPUT REQUIRED")))</f>
        <v/>
      </c>
    </row>
    <row r="494" spans="1:63" ht="15" customHeight="1" x14ac:dyDescent="0.25">
      <c r="A494" s="40"/>
      <c r="BG494" s="39" t="str">
        <f t="shared" si="28"/>
        <v/>
      </c>
      <c r="BH494" s="39" t="str">
        <f t="shared" si="29"/>
        <v/>
      </c>
      <c r="BI494" s="39" t="str">
        <f t="shared" si="30"/>
        <v/>
      </c>
      <c r="BJ494" t="str">
        <f t="shared" si="31"/>
        <v/>
      </c>
      <c r="BK494" s="39" t="str">
        <f>IF(A494="","",IF(BI494&lt;&gt;TRUE(),"No specific plan",IF(ISNUMBER(BJ494),IF(BJ494&lt;'Exec Summary'!$C$4,"Resolved before Feb 2027","Resolved after Feb 2027"),"CLIENT INPUT REQUIRED")))</f>
        <v/>
      </c>
    </row>
    <row r="495" spans="1:63" ht="15" customHeight="1" x14ac:dyDescent="0.25">
      <c r="A495" s="40"/>
      <c r="BG495" s="39" t="str">
        <f t="shared" si="28"/>
        <v/>
      </c>
      <c r="BH495" s="39" t="str">
        <f t="shared" si="29"/>
        <v/>
      </c>
      <c r="BI495" s="39" t="str">
        <f t="shared" si="30"/>
        <v/>
      </c>
      <c r="BJ495" t="str">
        <f t="shared" si="31"/>
        <v/>
      </c>
      <c r="BK495" s="39" t="str">
        <f>IF(A495="","",IF(BI495&lt;&gt;TRUE(),"No specific plan",IF(ISNUMBER(BJ495),IF(BJ495&lt;'Exec Summary'!$C$4,"Resolved before Feb 2027","Resolved after Feb 2027"),"CLIENT INPUT REQUIRED")))</f>
        <v/>
      </c>
    </row>
    <row r="496" spans="1:63" ht="15" customHeight="1" x14ac:dyDescent="0.25">
      <c r="A496" s="40"/>
      <c r="BG496" s="39" t="str">
        <f t="shared" si="28"/>
        <v/>
      </c>
      <c r="BH496" s="39" t="str">
        <f t="shared" si="29"/>
        <v/>
      </c>
      <c r="BI496" s="39" t="str">
        <f t="shared" si="30"/>
        <v/>
      </c>
      <c r="BJ496" t="str">
        <f t="shared" si="31"/>
        <v/>
      </c>
      <c r="BK496" s="39" t="str">
        <f>IF(A496="","",IF(BI496&lt;&gt;TRUE(),"No specific plan",IF(ISNUMBER(BJ496),IF(BJ496&lt;'Exec Summary'!$C$4,"Resolved before Feb 2027","Resolved after Feb 2027"),"CLIENT INPUT REQUIRED")))</f>
        <v/>
      </c>
    </row>
    <row r="497" spans="1:63" ht="15" customHeight="1" x14ac:dyDescent="0.25">
      <c r="A497" s="40"/>
      <c r="BG497" s="39" t="str">
        <f t="shared" si="28"/>
        <v/>
      </c>
      <c r="BH497" s="39" t="str">
        <f t="shared" si="29"/>
        <v/>
      </c>
      <c r="BI497" s="39" t="str">
        <f t="shared" si="30"/>
        <v/>
      </c>
      <c r="BJ497" t="str">
        <f t="shared" si="31"/>
        <v/>
      </c>
      <c r="BK497" s="39" t="str">
        <f>IF(A497="","",IF(BI497&lt;&gt;TRUE(),"No specific plan",IF(ISNUMBER(BJ497),IF(BJ497&lt;'Exec Summary'!$C$4,"Resolved before Feb 2027","Resolved after Feb 2027"),"CLIENT INPUT REQUIRED")))</f>
        <v/>
      </c>
    </row>
    <row r="498" spans="1:63" ht="15" customHeight="1" x14ac:dyDescent="0.25">
      <c r="A498" s="40"/>
      <c r="BG498" s="39" t="str">
        <f t="shared" si="28"/>
        <v/>
      </c>
      <c r="BH498" s="39" t="str">
        <f t="shared" si="29"/>
        <v/>
      </c>
      <c r="BI498" s="39" t="str">
        <f t="shared" si="30"/>
        <v/>
      </c>
      <c r="BJ498" t="str">
        <f t="shared" si="31"/>
        <v/>
      </c>
      <c r="BK498" s="39" t="str">
        <f>IF(A498="","",IF(BI498&lt;&gt;TRUE(),"No specific plan",IF(ISNUMBER(BJ498),IF(BJ498&lt;'Exec Summary'!$C$4,"Resolved before Feb 2027","Resolved after Feb 2027"),"CLIENT INPUT REQUIRED")))</f>
        <v/>
      </c>
    </row>
    <row r="499" spans="1:63" ht="15" customHeight="1" x14ac:dyDescent="0.25">
      <c r="A499" s="40"/>
      <c r="BG499" s="39" t="str">
        <f t="shared" si="28"/>
        <v/>
      </c>
      <c r="BH499" s="39" t="str">
        <f t="shared" si="29"/>
        <v/>
      </c>
      <c r="BI499" s="39" t="str">
        <f t="shared" si="30"/>
        <v/>
      </c>
      <c r="BJ499" t="str">
        <f t="shared" si="31"/>
        <v/>
      </c>
      <c r="BK499" s="39" t="str">
        <f>IF(A499="","",IF(BI499&lt;&gt;TRUE(),"No specific plan",IF(ISNUMBER(BJ499),IF(BJ499&lt;'Exec Summary'!$C$4,"Resolved before Feb 2027","Resolved after Feb 2027"),"CLIENT INPUT REQUIRED")))</f>
        <v/>
      </c>
    </row>
    <row r="500" spans="1:63" ht="15" customHeight="1" x14ac:dyDescent="0.25">
      <c r="A500" s="40"/>
      <c r="BG500" s="39" t="str">
        <f t="shared" si="28"/>
        <v/>
      </c>
      <c r="BH500" s="39" t="str">
        <f t="shared" si="29"/>
        <v/>
      </c>
      <c r="BI500" s="39" t="str">
        <f t="shared" si="30"/>
        <v/>
      </c>
      <c r="BJ500" t="str">
        <f t="shared" si="31"/>
        <v/>
      </c>
      <c r="BK500" s="39" t="str">
        <f>IF(A500="","",IF(BI500&lt;&gt;TRUE(),"No specific plan",IF(ISNUMBER(BJ500),IF(BJ500&lt;'Exec Summary'!$C$4,"Resolved before Feb 2027","Resolved after Feb 2027"),"CLIENT INPUT REQUIRED")))</f>
        <v/>
      </c>
    </row>
    <row r="501" spans="1:63" ht="15" customHeight="1" x14ac:dyDescent="0.25">
      <c r="A501" s="40"/>
      <c r="BG501" s="39" t="str">
        <f t="shared" si="28"/>
        <v/>
      </c>
      <c r="BH501" s="39" t="str">
        <f t="shared" si="29"/>
        <v/>
      </c>
      <c r="BI501" s="39" t="str">
        <f t="shared" si="30"/>
        <v/>
      </c>
      <c r="BJ501" t="str">
        <f t="shared" si="31"/>
        <v/>
      </c>
      <c r="BK501" s="39" t="str">
        <f>IF(A501="","",IF(BI501&lt;&gt;TRUE(),"No specific plan",IF(ISNUMBER(BJ501),IF(BJ501&lt;'Exec Summary'!$C$4,"Resolved before Feb 2027","Resolved after Feb 2027"),"CLIENT INPUT REQUIRED")))</f>
        <v/>
      </c>
    </row>
    <row r="502" spans="1:63" ht="15" customHeight="1" x14ac:dyDescent="0.25">
      <c r="A502" s="40"/>
      <c r="BG502" s="39" t="str">
        <f t="shared" si="28"/>
        <v/>
      </c>
      <c r="BH502" s="39" t="str">
        <f t="shared" si="29"/>
        <v/>
      </c>
      <c r="BI502" s="39" t="str">
        <f t="shared" si="30"/>
        <v/>
      </c>
      <c r="BJ502" t="str">
        <f t="shared" si="31"/>
        <v/>
      </c>
      <c r="BK502" s="39" t="str">
        <f>IF(A502="","",IF(BI502&lt;&gt;TRUE(),"No specific plan",IF(ISNUMBER(BJ502),IF(BJ502&lt;'Exec Summary'!$C$4,"Resolved before Feb 2027","Resolved after Feb 2027"),"CLIENT INPUT REQUIRED")))</f>
        <v/>
      </c>
    </row>
    <row r="503" spans="1:63" ht="15" customHeight="1" x14ac:dyDescent="0.25">
      <c r="A503" s="40"/>
      <c r="BG503" s="39" t="str">
        <f t="shared" si="28"/>
        <v/>
      </c>
      <c r="BH503" s="39" t="str">
        <f t="shared" si="29"/>
        <v/>
      </c>
      <c r="BI503" s="39" t="str">
        <f t="shared" si="30"/>
        <v/>
      </c>
      <c r="BJ503" t="str">
        <f t="shared" si="31"/>
        <v/>
      </c>
      <c r="BK503" s="39" t="str">
        <f>IF(A503="","",IF(BI503&lt;&gt;TRUE(),"No specific plan",IF(ISNUMBER(BJ503),IF(BJ503&lt;'Exec Summary'!$C$4,"Resolved before Feb 2027","Resolved after Feb 2027"),"CLIENT INPUT REQUIRED")))</f>
        <v/>
      </c>
    </row>
    <row r="504" spans="1:63" ht="15" customHeight="1" x14ac:dyDescent="0.25">
      <c r="A504" s="40"/>
      <c r="BG504" s="39" t="str">
        <f t="shared" si="28"/>
        <v/>
      </c>
      <c r="BH504" s="39" t="str">
        <f t="shared" si="29"/>
        <v/>
      </c>
      <c r="BI504" s="39" t="str">
        <f t="shared" si="30"/>
        <v/>
      </c>
      <c r="BJ504" t="str">
        <f t="shared" si="31"/>
        <v/>
      </c>
      <c r="BK504" s="39" t="str">
        <f>IF(A504="","",IF(BI504&lt;&gt;TRUE(),"No specific plan",IF(ISNUMBER(BJ504),IF(BJ504&lt;'Exec Summary'!$C$4,"Resolved before Feb 2027","Resolved after Feb 2027"),"CLIENT INPUT REQUIRED")))</f>
        <v/>
      </c>
    </row>
    <row r="505" spans="1:63" ht="15" customHeight="1" x14ac:dyDescent="0.25">
      <c r="A505" s="40"/>
      <c r="BG505" s="39" t="str">
        <f t="shared" si="28"/>
        <v/>
      </c>
      <c r="BH505" s="39" t="str">
        <f t="shared" si="29"/>
        <v/>
      </c>
      <c r="BI505" s="39" t="str">
        <f t="shared" si="30"/>
        <v/>
      </c>
      <c r="BJ505" t="str">
        <f t="shared" si="31"/>
        <v/>
      </c>
      <c r="BK505" s="39" t="str">
        <f>IF(A505="","",IF(BI505&lt;&gt;TRUE(),"No specific plan",IF(ISNUMBER(BJ505),IF(BJ505&lt;'Exec Summary'!$C$4,"Resolved before Feb 2027","Resolved after Feb 2027"),"CLIENT INPUT REQUIRED")))</f>
        <v/>
      </c>
    </row>
    <row r="506" spans="1:63" ht="15" customHeight="1" x14ac:dyDescent="0.25">
      <c r="A506" s="40"/>
      <c r="BG506" s="39" t="str">
        <f t="shared" si="28"/>
        <v/>
      </c>
      <c r="BH506" s="39" t="str">
        <f t="shared" si="29"/>
        <v/>
      </c>
      <c r="BI506" s="39" t="str">
        <f t="shared" si="30"/>
        <v/>
      </c>
      <c r="BJ506" t="str">
        <f t="shared" si="31"/>
        <v/>
      </c>
      <c r="BK506" s="39" t="str">
        <f>IF(A506="","",IF(BI506&lt;&gt;TRUE(),"No specific plan",IF(ISNUMBER(BJ506),IF(BJ506&lt;'Exec Summary'!$C$4,"Resolved before Feb 2027","Resolved after Feb 2027"),"CLIENT INPUT REQUIRED")))</f>
        <v/>
      </c>
    </row>
    <row r="507" spans="1:63" ht="15" customHeight="1" x14ac:dyDescent="0.25">
      <c r="A507" s="40"/>
      <c r="BG507" s="39" t="str">
        <f t="shared" si="28"/>
        <v/>
      </c>
      <c r="BH507" s="39" t="str">
        <f t="shared" si="29"/>
        <v/>
      </c>
      <c r="BI507" s="39" t="str">
        <f t="shared" si="30"/>
        <v/>
      </c>
      <c r="BJ507" t="str">
        <f t="shared" si="31"/>
        <v/>
      </c>
      <c r="BK507" s="39" t="str">
        <f>IF(A507="","",IF(BI507&lt;&gt;TRUE(),"No specific plan",IF(ISNUMBER(BJ507),IF(BJ507&lt;'Exec Summary'!$C$4,"Resolved before Feb 2027","Resolved after Feb 2027"),"CLIENT INPUT REQUIRED")))</f>
        <v/>
      </c>
    </row>
    <row r="508" spans="1:63" ht="15" customHeight="1" x14ac:dyDescent="0.25">
      <c r="A508" s="40"/>
      <c r="BG508" s="39" t="str">
        <f t="shared" si="28"/>
        <v/>
      </c>
      <c r="BH508" s="39" t="str">
        <f t="shared" si="29"/>
        <v/>
      </c>
      <c r="BI508" s="39" t="str">
        <f t="shared" si="30"/>
        <v/>
      </c>
      <c r="BJ508" t="str">
        <f t="shared" si="31"/>
        <v/>
      </c>
      <c r="BK508" s="39" t="str">
        <f>IF(A508="","",IF(BI508&lt;&gt;TRUE(),"No specific plan",IF(ISNUMBER(BJ508),IF(BJ508&lt;'Exec Summary'!$C$4,"Resolved before Feb 2027","Resolved after Feb 2027"),"CLIENT INPUT REQUIRED")))</f>
        <v/>
      </c>
    </row>
    <row r="509" spans="1:63" ht="15" customHeight="1" x14ac:dyDescent="0.25">
      <c r="A509" s="40"/>
      <c r="BG509" s="39" t="str">
        <f t="shared" si="28"/>
        <v/>
      </c>
      <c r="BH509" s="39" t="str">
        <f t="shared" si="29"/>
        <v/>
      </c>
      <c r="BI509" s="39" t="str">
        <f t="shared" si="30"/>
        <v/>
      </c>
      <c r="BJ509" t="str">
        <f t="shared" si="31"/>
        <v/>
      </c>
      <c r="BK509" s="39" t="str">
        <f>IF(A509="","",IF(BI509&lt;&gt;TRUE(),"No specific plan",IF(ISNUMBER(BJ509),IF(BJ509&lt;'Exec Summary'!$C$4,"Resolved before Feb 2027","Resolved after Feb 2027"),"CLIENT INPUT REQUIRED")))</f>
        <v/>
      </c>
    </row>
    <row r="510" spans="1:63" ht="15" customHeight="1" x14ac:dyDescent="0.25">
      <c r="A510" s="40"/>
      <c r="BG510" s="39" t="str">
        <f t="shared" si="28"/>
        <v/>
      </c>
      <c r="BH510" s="39" t="str">
        <f t="shared" si="29"/>
        <v/>
      </c>
      <c r="BI510" s="39" t="str">
        <f t="shared" si="30"/>
        <v/>
      </c>
      <c r="BJ510" t="str">
        <f t="shared" si="31"/>
        <v/>
      </c>
      <c r="BK510" s="39" t="str">
        <f>IF(A510="","",IF(BI510&lt;&gt;TRUE(),"No specific plan",IF(ISNUMBER(BJ510),IF(BJ510&lt;'Exec Summary'!$C$4,"Resolved before Feb 2027","Resolved after Feb 2027"),"CLIENT INPUT REQUIRED")))</f>
        <v/>
      </c>
    </row>
    <row r="511" spans="1:63" ht="15" customHeight="1" x14ac:dyDescent="0.25">
      <c r="A511" s="40"/>
      <c r="BG511" s="39" t="str">
        <f t="shared" si="28"/>
        <v/>
      </c>
      <c r="BH511" s="39" t="str">
        <f t="shared" si="29"/>
        <v/>
      </c>
      <c r="BI511" s="39" t="str">
        <f t="shared" si="30"/>
        <v/>
      </c>
      <c r="BJ511" t="str">
        <f t="shared" si="31"/>
        <v/>
      </c>
      <c r="BK511" s="39" t="str">
        <f>IF(A511="","",IF(BI511&lt;&gt;TRUE(),"No specific plan",IF(ISNUMBER(BJ511),IF(BJ511&lt;'Exec Summary'!$C$4,"Resolved before Feb 2027","Resolved after Feb 2027"),"CLIENT INPUT REQUIRED")))</f>
        <v/>
      </c>
    </row>
    <row r="512" spans="1:63" ht="15" customHeight="1" x14ac:dyDescent="0.25">
      <c r="A512" s="40"/>
      <c r="BG512" s="39" t="str">
        <f t="shared" si="28"/>
        <v/>
      </c>
      <c r="BH512" s="39" t="str">
        <f t="shared" si="29"/>
        <v/>
      </c>
      <c r="BI512" s="39" t="str">
        <f t="shared" si="30"/>
        <v/>
      </c>
      <c r="BJ512" t="str">
        <f t="shared" si="31"/>
        <v/>
      </c>
      <c r="BK512" s="39" t="str">
        <f>IF(A512="","",IF(BI512&lt;&gt;TRUE(),"No specific plan",IF(ISNUMBER(BJ512),IF(BJ512&lt;'Exec Summary'!$C$4,"Resolved before Feb 2027","Resolved after Feb 2027"),"CLIENT INPUT REQUIRED")))</f>
        <v/>
      </c>
    </row>
    <row r="513" spans="1:63" ht="15" customHeight="1" x14ac:dyDescent="0.25">
      <c r="A513" s="40"/>
      <c r="BG513" s="39" t="str">
        <f t="shared" si="28"/>
        <v/>
      </c>
      <c r="BH513" s="39" t="str">
        <f t="shared" si="29"/>
        <v/>
      </c>
      <c r="BI513" s="39" t="str">
        <f t="shared" si="30"/>
        <v/>
      </c>
      <c r="BJ513" t="str">
        <f t="shared" si="31"/>
        <v/>
      </c>
      <c r="BK513" s="39" t="str">
        <f>IF(A513="","",IF(BI513&lt;&gt;TRUE(),"No specific plan",IF(ISNUMBER(BJ513),IF(BJ513&lt;'Exec Summary'!$C$4,"Resolved before Feb 2027","Resolved after Feb 2027"),"CLIENT INPUT REQUIRED")))</f>
        <v/>
      </c>
    </row>
    <row r="514" spans="1:63" ht="15" customHeight="1" x14ac:dyDescent="0.25">
      <c r="A514" s="40"/>
      <c r="BG514" s="39" t="str">
        <f t="shared" si="28"/>
        <v/>
      </c>
      <c r="BH514" s="39" t="str">
        <f t="shared" si="29"/>
        <v/>
      </c>
      <c r="BI514" s="39" t="str">
        <f t="shared" si="30"/>
        <v/>
      </c>
      <c r="BJ514" t="str">
        <f t="shared" si="31"/>
        <v/>
      </c>
      <c r="BK514" s="39" t="str">
        <f>IF(A514="","",IF(BI514&lt;&gt;TRUE(),"No specific plan",IF(ISNUMBER(BJ514),IF(BJ514&lt;'Exec Summary'!$C$4,"Resolved before Feb 2027","Resolved after Feb 2027"),"CLIENT INPUT REQUIRED")))</f>
        <v/>
      </c>
    </row>
    <row r="515" spans="1:63" ht="15" customHeight="1" x14ac:dyDescent="0.25">
      <c r="A515" s="40"/>
      <c r="BG515" s="39" t="str">
        <f t="shared" si="28"/>
        <v/>
      </c>
      <c r="BH515" s="39" t="str">
        <f t="shared" si="29"/>
        <v/>
      </c>
      <c r="BI515" s="39" t="str">
        <f t="shared" si="30"/>
        <v/>
      </c>
      <c r="BJ515" t="str">
        <f t="shared" si="31"/>
        <v/>
      </c>
      <c r="BK515" s="39" t="str">
        <f>IF(A515="","",IF(BI515&lt;&gt;TRUE(),"No specific plan",IF(ISNUMBER(BJ515),IF(BJ515&lt;'Exec Summary'!$C$4,"Resolved before Feb 2027","Resolved after Feb 2027"),"CLIENT INPUT REQUIRED")))</f>
        <v/>
      </c>
    </row>
    <row r="516" spans="1:63" ht="15" customHeight="1" x14ac:dyDescent="0.25">
      <c r="A516" s="40"/>
      <c r="BG516" s="39" t="str">
        <f t="shared" ref="BG516:BG579" si="32">IF(A516="","",AND(TRIM(G516&amp;"")&lt;&gt;"",UPPER(TRIM(G516&amp;""))&lt;&gt;"NO"))</f>
        <v/>
      </c>
      <c r="BH516" s="39" t="str">
        <f t="shared" ref="BH516:BH579" si="33">IF(J516="","",IF(ISNUMBER(SEARCH("absen",J516)),"Absence of Drainage Network",IF(OR(ISNUMBER(SEARCH("design",J516)),ISNUMBER(SEARCH("capacity",J516))),"Inadequate Design Capacity",IF(OR(ISNUMBER(SEARCH("upgrade",J516)),ISNUMBER(SEARCH("network",J516)),ISNUMBER(SEARCH("topog",J516)),ISNUMBER(SEARCH("road",J516))),"Topography &amp; Road Engineering","CHECK - map manually"))))</f>
        <v/>
      </c>
      <c r="BI516" s="39" t="str">
        <f t="shared" ref="BI516:BI579" si="34">IF(A516="","",AND(UPPER(TRIM(BF516&amp;""))="IDD",OR(TRIM(AN516&amp;"")&lt;&gt;"",TRIM(AY516&amp;"")&lt;&gt;"",TRIM(AZ516&amp;"")&lt;&gt;"")))</f>
        <v/>
      </c>
      <c r="BJ516" t="str">
        <f t="shared" ref="BJ516:BJ579" si="35">IF(A516="","",IF(ISNUMBER(AZ516),AZ516,"CLIENT INPUT REQUIRED"))</f>
        <v/>
      </c>
      <c r="BK516" s="39" t="str">
        <f>IF(A516="","",IF(BI516&lt;&gt;TRUE(),"No specific plan",IF(ISNUMBER(BJ516),IF(BJ516&lt;'Exec Summary'!$C$4,"Resolved before Feb 2027","Resolved after Feb 2027"),"CLIENT INPUT REQUIRED")))</f>
        <v/>
      </c>
    </row>
    <row r="517" spans="1:63" ht="15" customHeight="1" x14ac:dyDescent="0.25">
      <c r="A517" s="40"/>
      <c r="BG517" s="39" t="str">
        <f t="shared" si="32"/>
        <v/>
      </c>
      <c r="BH517" s="39" t="str">
        <f t="shared" si="33"/>
        <v/>
      </c>
      <c r="BI517" s="39" t="str">
        <f t="shared" si="34"/>
        <v/>
      </c>
      <c r="BJ517" t="str">
        <f t="shared" si="35"/>
        <v/>
      </c>
      <c r="BK517" s="39" t="str">
        <f>IF(A517="","",IF(BI517&lt;&gt;TRUE(),"No specific plan",IF(ISNUMBER(BJ517),IF(BJ517&lt;'Exec Summary'!$C$4,"Resolved before Feb 2027","Resolved after Feb 2027"),"CLIENT INPUT REQUIRED")))</f>
        <v/>
      </c>
    </row>
    <row r="518" spans="1:63" ht="15" customHeight="1" x14ac:dyDescent="0.25">
      <c r="A518" s="40"/>
      <c r="BG518" s="39" t="str">
        <f t="shared" si="32"/>
        <v/>
      </c>
      <c r="BH518" s="39" t="str">
        <f t="shared" si="33"/>
        <v/>
      </c>
      <c r="BI518" s="39" t="str">
        <f t="shared" si="34"/>
        <v/>
      </c>
      <c r="BJ518" t="str">
        <f t="shared" si="35"/>
        <v/>
      </c>
      <c r="BK518" s="39" t="str">
        <f>IF(A518="","",IF(BI518&lt;&gt;TRUE(),"No specific plan",IF(ISNUMBER(BJ518),IF(BJ518&lt;'Exec Summary'!$C$4,"Resolved before Feb 2027","Resolved after Feb 2027"),"CLIENT INPUT REQUIRED")))</f>
        <v/>
      </c>
    </row>
    <row r="519" spans="1:63" ht="15" customHeight="1" x14ac:dyDescent="0.25">
      <c r="A519" s="40"/>
      <c r="BG519" s="39" t="str">
        <f t="shared" si="32"/>
        <v/>
      </c>
      <c r="BH519" s="39" t="str">
        <f t="shared" si="33"/>
        <v/>
      </c>
      <c r="BI519" s="39" t="str">
        <f t="shared" si="34"/>
        <v/>
      </c>
      <c r="BJ519" t="str">
        <f t="shared" si="35"/>
        <v/>
      </c>
      <c r="BK519" s="39" t="str">
        <f>IF(A519="","",IF(BI519&lt;&gt;TRUE(),"No specific plan",IF(ISNUMBER(BJ519),IF(BJ519&lt;'Exec Summary'!$C$4,"Resolved before Feb 2027","Resolved after Feb 2027"),"CLIENT INPUT REQUIRED")))</f>
        <v/>
      </c>
    </row>
    <row r="520" spans="1:63" ht="15" customHeight="1" x14ac:dyDescent="0.25">
      <c r="A520" s="40"/>
      <c r="BG520" s="39" t="str">
        <f t="shared" si="32"/>
        <v/>
      </c>
      <c r="BH520" s="39" t="str">
        <f t="shared" si="33"/>
        <v/>
      </c>
      <c r="BI520" s="39" t="str">
        <f t="shared" si="34"/>
        <v/>
      </c>
      <c r="BJ520" t="str">
        <f t="shared" si="35"/>
        <v/>
      </c>
      <c r="BK520" s="39" t="str">
        <f>IF(A520="","",IF(BI520&lt;&gt;TRUE(),"No specific plan",IF(ISNUMBER(BJ520),IF(BJ520&lt;'Exec Summary'!$C$4,"Resolved before Feb 2027","Resolved after Feb 2027"),"CLIENT INPUT REQUIRED")))</f>
        <v/>
      </c>
    </row>
    <row r="521" spans="1:63" ht="15" customHeight="1" x14ac:dyDescent="0.25">
      <c r="A521" s="40"/>
      <c r="BG521" s="39" t="str">
        <f t="shared" si="32"/>
        <v/>
      </c>
      <c r="BH521" s="39" t="str">
        <f t="shared" si="33"/>
        <v/>
      </c>
      <c r="BI521" s="39" t="str">
        <f t="shared" si="34"/>
        <v/>
      </c>
      <c r="BJ521" t="str">
        <f t="shared" si="35"/>
        <v/>
      </c>
      <c r="BK521" s="39" t="str">
        <f>IF(A521="","",IF(BI521&lt;&gt;TRUE(),"No specific plan",IF(ISNUMBER(BJ521),IF(BJ521&lt;'Exec Summary'!$C$4,"Resolved before Feb 2027","Resolved after Feb 2027"),"CLIENT INPUT REQUIRED")))</f>
        <v/>
      </c>
    </row>
    <row r="522" spans="1:63" ht="15" customHeight="1" x14ac:dyDescent="0.25">
      <c r="A522" s="40"/>
      <c r="BG522" s="39" t="str">
        <f t="shared" si="32"/>
        <v/>
      </c>
      <c r="BH522" s="39" t="str">
        <f t="shared" si="33"/>
        <v/>
      </c>
      <c r="BI522" s="39" t="str">
        <f t="shared" si="34"/>
        <v/>
      </c>
      <c r="BJ522" t="str">
        <f t="shared" si="35"/>
        <v/>
      </c>
      <c r="BK522" s="39" t="str">
        <f>IF(A522="","",IF(BI522&lt;&gt;TRUE(),"No specific plan",IF(ISNUMBER(BJ522),IF(BJ522&lt;'Exec Summary'!$C$4,"Resolved before Feb 2027","Resolved after Feb 2027"),"CLIENT INPUT REQUIRED")))</f>
        <v/>
      </c>
    </row>
    <row r="523" spans="1:63" ht="15" customHeight="1" x14ac:dyDescent="0.25">
      <c r="A523" s="40"/>
      <c r="BG523" s="39" t="str">
        <f t="shared" si="32"/>
        <v/>
      </c>
      <c r="BH523" s="39" t="str">
        <f t="shared" si="33"/>
        <v/>
      </c>
      <c r="BI523" s="39" t="str">
        <f t="shared" si="34"/>
        <v/>
      </c>
      <c r="BJ523" t="str">
        <f t="shared" si="35"/>
        <v/>
      </c>
      <c r="BK523" s="39" t="str">
        <f>IF(A523="","",IF(BI523&lt;&gt;TRUE(),"No specific plan",IF(ISNUMBER(BJ523),IF(BJ523&lt;'Exec Summary'!$C$4,"Resolved before Feb 2027","Resolved after Feb 2027"),"CLIENT INPUT REQUIRED")))</f>
        <v/>
      </c>
    </row>
    <row r="524" spans="1:63" ht="15" customHeight="1" x14ac:dyDescent="0.25">
      <c r="A524" s="40"/>
      <c r="BG524" s="39" t="str">
        <f t="shared" si="32"/>
        <v/>
      </c>
      <c r="BH524" s="39" t="str">
        <f t="shared" si="33"/>
        <v/>
      </c>
      <c r="BI524" s="39" t="str">
        <f t="shared" si="34"/>
        <v/>
      </c>
      <c r="BJ524" t="str">
        <f t="shared" si="35"/>
        <v/>
      </c>
      <c r="BK524" s="39" t="str">
        <f>IF(A524="","",IF(BI524&lt;&gt;TRUE(),"No specific plan",IF(ISNUMBER(BJ524),IF(BJ524&lt;'Exec Summary'!$C$4,"Resolved before Feb 2027","Resolved after Feb 2027"),"CLIENT INPUT REQUIRED")))</f>
        <v/>
      </c>
    </row>
    <row r="525" spans="1:63" ht="15" customHeight="1" x14ac:dyDescent="0.25">
      <c r="A525" s="40"/>
      <c r="BG525" s="39" t="str">
        <f t="shared" si="32"/>
        <v/>
      </c>
      <c r="BH525" s="39" t="str">
        <f t="shared" si="33"/>
        <v/>
      </c>
      <c r="BI525" s="39" t="str">
        <f t="shared" si="34"/>
        <v/>
      </c>
      <c r="BJ525" t="str">
        <f t="shared" si="35"/>
        <v/>
      </c>
      <c r="BK525" s="39" t="str">
        <f>IF(A525="","",IF(BI525&lt;&gt;TRUE(),"No specific plan",IF(ISNUMBER(BJ525),IF(BJ525&lt;'Exec Summary'!$C$4,"Resolved before Feb 2027","Resolved after Feb 2027"),"CLIENT INPUT REQUIRED")))</f>
        <v/>
      </c>
    </row>
    <row r="526" spans="1:63" ht="15" customHeight="1" x14ac:dyDescent="0.25">
      <c r="A526" s="40"/>
      <c r="BG526" s="39" t="str">
        <f t="shared" si="32"/>
        <v/>
      </c>
      <c r="BH526" s="39" t="str">
        <f t="shared" si="33"/>
        <v/>
      </c>
      <c r="BI526" s="39" t="str">
        <f t="shared" si="34"/>
        <v/>
      </c>
      <c r="BJ526" t="str">
        <f t="shared" si="35"/>
        <v/>
      </c>
      <c r="BK526" s="39" t="str">
        <f>IF(A526="","",IF(BI526&lt;&gt;TRUE(),"No specific plan",IF(ISNUMBER(BJ526),IF(BJ526&lt;'Exec Summary'!$C$4,"Resolved before Feb 2027","Resolved after Feb 2027"),"CLIENT INPUT REQUIRED")))</f>
        <v/>
      </c>
    </row>
    <row r="527" spans="1:63" ht="15" customHeight="1" x14ac:dyDescent="0.25">
      <c r="A527" s="40"/>
      <c r="BG527" s="39" t="str">
        <f t="shared" si="32"/>
        <v/>
      </c>
      <c r="BH527" s="39" t="str">
        <f t="shared" si="33"/>
        <v/>
      </c>
      <c r="BI527" s="39" t="str">
        <f t="shared" si="34"/>
        <v/>
      </c>
      <c r="BJ527" t="str">
        <f t="shared" si="35"/>
        <v/>
      </c>
      <c r="BK527" s="39" t="str">
        <f>IF(A527="","",IF(BI527&lt;&gt;TRUE(),"No specific plan",IF(ISNUMBER(BJ527),IF(BJ527&lt;'Exec Summary'!$C$4,"Resolved before Feb 2027","Resolved after Feb 2027"),"CLIENT INPUT REQUIRED")))</f>
        <v/>
      </c>
    </row>
    <row r="528" spans="1:63" ht="15" customHeight="1" x14ac:dyDescent="0.25">
      <c r="A528" s="40"/>
      <c r="BG528" s="39" t="str">
        <f t="shared" si="32"/>
        <v/>
      </c>
      <c r="BH528" s="39" t="str">
        <f t="shared" si="33"/>
        <v/>
      </c>
      <c r="BI528" s="39" t="str">
        <f t="shared" si="34"/>
        <v/>
      </c>
      <c r="BJ528" t="str">
        <f t="shared" si="35"/>
        <v/>
      </c>
      <c r="BK528" s="39" t="str">
        <f>IF(A528="","",IF(BI528&lt;&gt;TRUE(),"No specific plan",IF(ISNUMBER(BJ528),IF(BJ528&lt;'Exec Summary'!$C$4,"Resolved before Feb 2027","Resolved after Feb 2027"),"CLIENT INPUT REQUIRED")))</f>
        <v/>
      </c>
    </row>
    <row r="529" spans="1:63" ht="15" customHeight="1" x14ac:dyDescent="0.25">
      <c r="A529" s="40"/>
      <c r="BG529" s="39" t="str">
        <f t="shared" si="32"/>
        <v/>
      </c>
      <c r="BH529" s="39" t="str">
        <f t="shared" si="33"/>
        <v/>
      </c>
      <c r="BI529" s="39" t="str">
        <f t="shared" si="34"/>
        <v/>
      </c>
      <c r="BJ529" t="str">
        <f t="shared" si="35"/>
        <v/>
      </c>
      <c r="BK529" s="39" t="str">
        <f>IF(A529="","",IF(BI529&lt;&gt;TRUE(),"No specific plan",IF(ISNUMBER(BJ529),IF(BJ529&lt;'Exec Summary'!$C$4,"Resolved before Feb 2027","Resolved after Feb 2027"),"CLIENT INPUT REQUIRED")))</f>
        <v/>
      </c>
    </row>
    <row r="530" spans="1:63" ht="15" customHeight="1" x14ac:dyDescent="0.25">
      <c r="A530" s="40"/>
      <c r="BG530" s="39" t="str">
        <f t="shared" si="32"/>
        <v/>
      </c>
      <c r="BH530" s="39" t="str">
        <f t="shared" si="33"/>
        <v/>
      </c>
      <c r="BI530" s="39" t="str">
        <f t="shared" si="34"/>
        <v/>
      </c>
      <c r="BJ530" t="str">
        <f t="shared" si="35"/>
        <v/>
      </c>
      <c r="BK530" s="39" t="str">
        <f>IF(A530="","",IF(BI530&lt;&gt;TRUE(),"No specific plan",IF(ISNUMBER(BJ530),IF(BJ530&lt;'Exec Summary'!$C$4,"Resolved before Feb 2027","Resolved after Feb 2027"),"CLIENT INPUT REQUIRED")))</f>
        <v/>
      </c>
    </row>
    <row r="531" spans="1:63" ht="15" customHeight="1" x14ac:dyDescent="0.25">
      <c r="A531" s="40"/>
      <c r="BG531" s="39" t="str">
        <f t="shared" si="32"/>
        <v/>
      </c>
      <c r="BH531" s="39" t="str">
        <f t="shared" si="33"/>
        <v/>
      </c>
      <c r="BI531" s="39" t="str">
        <f t="shared" si="34"/>
        <v/>
      </c>
      <c r="BJ531" t="str">
        <f t="shared" si="35"/>
        <v/>
      </c>
      <c r="BK531" s="39" t="str">
        <f>IF(A531="","",IF(BI531&lt;&gt;TRUE(),"No specific plan",IF(ISNUMBER(BJ531),IF(BJ531&lt;'Exec Summary'!$C$4,"Resolved before Feb 2027","Resolved after Feb 2027"),"CLIENT INPUT REQUIRED")))</f>
        <v/>
      </c>
    </row>
    <row r="532" spans="1:63" ht="15" customHeight="1" x14ac:dyDescent="0.25">
      <c r="A532" s="40"/>
      <c r="BG532" s="39" t="str">
        <f t="shared" si="32"/>
        <v/>
      </c>
      <c r="BH532" s="39" t="str">
        <f t="shared" si="33"/>
        <v/>
      </c>
      <c r="BI532" s="39" t="str">
        <f t="shared" si="34"/>
        <v/>
      </c>
      <c r="BJ532" t="str">
        <f t="shared" si="35"/>
        <v/>
      </c>
      <c r="BK532" s="39" t="str">
        <f>IF(A532="","",IF(BI532&lt;&gt;TRUE(),"No specific plan",IF(ISNUMBER(BJ532),IF(BJ532&lt;'Exec Summary'!$C$4,"Resolved before Feb 2027","Resolved after Feb 2027"),"CLIENT INPUT REQUIRED")))</f>
        <v/>
      </c>
    </row>
    <row r="533" spans="1:63" ht="15" customHeight="1" x14ac:dyDescent="0.25">
      <c r="A533" s="40"/>
      <c r="BG533" s="39" t="str">
        <f t="shared" si="32"/>
        <v/>
      </c>
      <c r="BH533" s="39" t="str">
        <f t="shared" si="33"/>
        <v/>
      </c>
      <c r="BI533" s="39" t="str">
        <f t="shared" si="34"/>
        <v/>
      </c>
      <c r="BJ533" t="str">
        <f t="shared" si="35"/>
        <v/>
      </c>
      <c r="BK533" s="39" t="str">
        <f>IF(A533="","",IF(BI533&lt;&gt;TRUE(),"No specific plan",IF(ISNUMBER(BJ533),IF(BJ533&lt;'Exec Summary'!$C$4,"Resolved before Feb 2027","Resolved after Feb 2027"),"CLIENT INPUT REQUIRED")))</f>
        <v/>
      </c>
    </row>
    <row r="534" spans="1:63" ht="15" customHeight="1" x14ac:dyDescent="0.25">
      <c r="A534" s="40"/>
      <c r="BG534" s="39" t="str">
        <f t="shared" si="32"/>
        <v/>
      </c>
      <c r="BH534" s="39" t="str">
        <f t="shared" si="33"/>
        <v/>
      </c>
      <c r="BI534" s="39" t="str">
        <f t="shared" si="34"/>
        <v/>
      </c>
      <c r="BJ534" t="str">
        <f t="shared" si="35"/>
        <v/>
      </c>
      <c r="BK534" s="39" t="str">
        <f>IF(A534="","",IF(BI534&lt;&gt;TRUE(),"No specific plan",IF(ISNUMBER(BJ534),IF(BJ534&lt;'Exec Summary'!$C$4,"Resolved before Feb 2027","Resolved after Feb 2027"),"CLIENT INPUT REQUIRED")))</f>
        <v/>
      </c>
    </row>
    <row r="535" spans="1:63" ht="15" customHeight="1" x14ac:dyDescent="0.25">
      <c r="A535" s="40"/>
      <c r="BG535" s="39" t="str">
        <f t="shared" si="32"/>
        <v/>
      </c>
      <c r="BH535" s="39" t="str">
        <f t="shared" si="33"/>
        <v/>
      </c>
      <c r="BI535" s="39" t="str">
        <f t="shared" si="34"/>
        <v/>
      </c>
      <c r="BJ535" t="str">
        <f t="shared" si="35"/>
        <v/>
      </c>
      <c r="BK535" s="39" t="str">
        <f>IF(A535="","",IF(BI535&lt;&gt;TRUE(),"No specific plan",IF(ISNUMBER(BJ535),IF(BJ535&lt;'Exec Summary'!$C$4,"Resolved before Feb 2027","Resolved after Feb 2027"),"CLIENT INPUT REQUIRED")))</f>
        <v/>
      </c>
    </row>
    <row r="536" spans="1:63" ht="15" customHeight="1" x14ac:dyDescent="0.25">
      <c r="A536" s="40"/>
      <c r="BG536" s="39" t="str">
        <f t="shared" si="32"/>
        <v/>
      </c>
      <c r="BH536" s="39" t="str">
        <f t="shared" si="33"/>
        <v/>
      </c>
      <c r="BI536" s="39" t="str">
        <f t="shared" si="34"/>
        <v/>
      </c>
      <c r="BJ536" t="str">
        <f t="shared" si="35"/>
        <v/>
      </c>
      <c r="BK536" s="39" t="str">
        <f>IF(A536="","",IF(BI536&lt;&gt;TRUE(),"No specific plan",IF(ISNUMBER(BJ536),IF(BJ536&lt;'Exec Summary'!$C$4,"Resolved before Feb 2027","Resolved after Feb 2027"),"CLIENT INPUT REQUIRED")))</f>
        <v/>
      </c>
    </row>
    <row r="537" spans="1:63" ht="15" customHeight="1" x14ac:dyDescent="0.25">
      <c r="A537" s="40"/>
      <c r="BG537" s="39" t="str">
        <f t="shared" si="32"/>
        <v/>
      </c>
      <c r="BH537" s="39" t="str">
        <f t="shared" si="33"/>
        <v/>
      </c>
      <c r="BI537" s="39" t="str">
        <f t="shared" si="34"/>
        <v/>
      </c>
      <c r="BJ537" t="str">
        <f t="shared" si="35"/>
        <v/>
      </c>
      <c r="BK537" s="39" t="str">
        <f>IF(A537="","",IF(BI537&lt;&gt;TRUE(),"No specific plan",IF(ISNUMBER(BJ537),IF(BJ537&lt;'Exec Summary'!$C$4,"Resolved before Feb 2027","Resolved after Feb 2027"),"CLIENT INPUT REQUIRED")))</f>
        <v/>
      </c>
    </row>
    <row r="538" spans="1:63" ht="15" customHeight="1" x14ac:dyDescent="0.25">
      <c r="A538" s="40"/>
      <c r="BG538" s="39" t="str">
        <f t="shared" si="32"/>
        <v/>
      </c>
      <c r="BH538" s="39" t="str">
        <f t="shared" si="33"/>
        <v/>
      </c>
      <c r="BI538" s="39" t="str">
        <f t="shared" si="34"/>
        <v/>
      </c>
      <c r="BJ538" t="str">
        <f t="shared" si="35"/>
        <v/>
      </c>
      <c r="BK538" s="39" t="str">
        <f>IF(A538="","",IF(BI538&lt;&gt;TRUE(),"No specific plan",IF(ISNUMBER(BJ538),IF(BJ538&lt;'Exec Summary'!$C$4,"Resolved before Feb 2027","Resolved after Feb 2027"),"CLIENT INPUT REQUIRED")))</f>
        <v/>
      </c>
    </row>
    <row r="539" spans="1:63" ht="15" customHeight="1" x14ac:dyDescent="0.25">
      <c r="A539" s="40"/>
      <c r="BG539" s="39" t="str">
        <f t="shared" si="32"/>
        <v/>
      </c>
      <c r="BH539" s="39" t="str">
        <f t="shared" si="33"/>
        <v/>
      </c>
      <c r="BI539" s="39" t="str">
        <f t="shared" si="34"/>
        <v/>
      </c>
      <c r="BJ539" t="str">
        <f t="shared" si="35"/>
        <v/>
      </c>
      <c r="BK539" s="39" t="str">
        <f>IF(A539="","",IF(BI539&lt;&gt;TRUE(),"No specific plan",IF(ISNUMBER(BJ539),IF(BJ539&lt;'Exec Summary'!$C$4,"Resolved before Feb 2027","Resolved after Feb 2027"),"CLIENT INPUT REQUIRED")))</f>
        <v/>
      </c>
    </row>
    <row r="540" spans="1:63" ht="15" customHeight="1" x14ac:dyDescent="0.25">
      <c r="A540" s="40"/>
      <c r="BG540" s="39" t="str">
        <f t="shared" si="32"/>
        <v/>
      </c>
      <c r="BH540" s="39" t="str">
        <f t="shared" si="33"/>
        <v/>
      </c>
      <c r="BI540" s="39" t="str">
        <f t="shared" si="34"/>
        <v/>
      </c>
      <c r="BJ540" t="str">
        <f t="shared" si="35"/>
        <v/>
      </c>
      <c r="BK540" s="39" t="str">
        <f>IF(A540="","",IF(BI540&lt;&gt;TRUE(),"No specific plan",IF(ISNUMBER(BJ540),IF(BJ540&lt;'Exec Summary'!$C$4,"Resolved before Feb 2027","Resolved after Feb 2027"),"CLIENT INPUT REQUIRED")))</f>
        <v/>
      </c>
    </row>
    <row r="541" spans="1:63" ht="15" customHeight="1" x14ac:dyDescent="0.25">
      <c r="A541" s="40"/>
      <c r="BG541" s="39" t="str">
        <f t="shared" si="32"/>
        <v/>
      </c>
      <c r="BH541" s="39" t="str">
        <f t="shared" si="33"/>
        <v/>
      </c>
      <c r="BI541" s="39" t="str">
        <f t="shared" si="34"/>
        <v/>
      </c>
      <c r="BJ541" t="str">
        <f t="shared" si="35"/>
        <v/>
      </c>
      <c r="BK541" s="39" t="str">
        <f>IF(A541="","",IF(BI541&lt;&gt;TRUE(),"No specific plan",IF(ISNUMBER(BJ541),IF(BJ541&lt;'Exec Summary'!$C$4,"Resolved before Feb 2027","Resolved after Feb 2027"),"CLIENT INPUT REQUIRED")))</f>
        <v/>
      </c>
    </row>
    <row r="542" spans="1:63" ht="15" customHeight="1" x14ac:dyDescent="0.25">
      <c r="A542" s="40"/>
      <c r="BG542" s="39" t="str">
        <f t="shared" si="32"/>
        <v/>
      </c>
      <c r="BH542" s="39" t="str">
        <f t="shared" si="33"/>
        <v/>
      </c>
      <c r="BI542" s="39" t="str">
        <f t="shared" si="34"/>
        <v/>
      </c>
      <c r="BJ542" t="str">
        <f t="shared" si="35"/>
        <v/>
      </c>
      <c r="BK542" s="39" t="str">
        <f>IF(A542="","",IF(BI542&lt;&gt;TRUE(),"No specific plan",IF(ISNUMBER(BJ542),IF(BJ542&lt;'Exec Summary'!$C$4,"Resolved before Feb 2027","Resolved after Feb 2027"),"CLIENT INPUT REQUIRED")))</f>
        <v/>
      </c>
    </row>
    <row r="543" spans="1:63" ht="15" customHeight="1" x14ac:dyDescent="0.25">
      <c r="A543" s="40"/>
      <c r="BG543" s="39" t="str">
        <f t="shared" si="32"/>
        <v/>
      </c>
      <c r="BH543" s="39" t="str">
        <f t="shared" si="33"/>
        <v/>
      </c>
      <c r="BI543" s="39" t="str">
        <f t="shared" si="34"/>
        <v/>
      </c>
      <c r="BJ543" t="str">
        <f t="shared" si="35"/>
        <v/>
      </c>
      <c r="BK543" s="39" t="str">
        <f>IF(A543="","",IF(BI543&lt;&gt;TRUE(),"No specific plan",IF(ISNUMBER(BJ543),IF(BJ543&lt;'Exec Summary'!$C$4,"Resolved before Feb 2027","Resolved after Feb 2027"),"CLIENT INPUT REQUIRED")))</f>
        <v/>
      </c>
    </row>
    <row r="544" spans="1:63" ht="15" customHeight="1" x14ac:dyDescent="0.25">
      <c r="A544" s="40"/>
      <c r="BG544" s="39" t="str">
        <f t="shared" si="32"/>
        <v/>
      </c>
      <c r="BH544" s="39" t="str">
        <f t="shared" si="33"/>
        <v/>
      </c>
      <c r="BI544" s="39" t="str">
        <f t="shared" si="34"/>
        <v/>
      </c>
      <c r="BJ544" t="str">
        <f t="shared" si="35"/>
        <v/>
      </c>
      <c r="BK544" s="39" t="str">
        <f>IF(A544="","",IF(BI544&lt;&gt;TRUE(),"No specific plan",IF(ISNUMBER(BJ544),IF(BJ544&lt;'Exec Summary'!$C$4,"Resolved before Feb 2027","Resolved after Feb 2027"),"CLIENT INPUT REQUIRED")))</f>
        <v/>
      </c>
    </row>
    <row r="545" spans="1:63" ht="15" customHeight="1" x14ac:dyDescent="0.25">
      <c r="A545" s="40"/>
      <c r="BG545" s="39" t="str">
        <f t="shared" si="32"/>
        <v/>
      </c>
      <c r="BH545" s="39" t="str">
        <f t="shared" si="33"/>
        <v/>
      </c>
      <c r="BI545" s="39" t="str">
        <f t="shared" si="34"/>
        <v/>
      </c>
      <c r="BJ545" t="str">
        <f t="shared" si="35"/>
        <v/>
      </c>
      <c r="BK545" s="39" t="str">
        <f>IF(A545="","",IF(BI545&lt;&gt;TRUE(),"No specific plan",IF(ISNUMBER(BJ545),IF(BJ545&lt;'Exec Summary'!$C$4,"Resolved before Feb 2027","Resolved after Feb 2027"),"CLIENT INPUT REQUIRED")))</f>
        <v/>
      </c>
    </row>
    <row r="546" spans="1:63" ht="15" customHeight="1" x14ac:dyDescent="0.25">
      <c r="A546" s="40"/>
      <c r="BG546" s="39" t="str">
        <f t="shared" si="32"/>
        <v/>
      </c>
      <c r="BH546" s="39" t="str">
        <f t="shared" si="33"/>
        <v/>
      </c>
      <c r="BI546" s="39" t="str">
        <f t="shared" si="34"/>
        <v/>
      </c>
      <c r="BJ546" t="str">
        <f t="shared" si="35"/>
        <v/>
      </c>
      <c r="BK546" s="39" t="str">
        <f>IF(A546="","",IF(BI546&lt;&gt;TRUE(),"No specific plan",IF(ISNUMBER(BJ546),IF(BJ546&lt;'Exec Summary'!$C$4,"Resolved before Feb 2027","Resolved after Feb 2027"),"CLIENT INPUT REQUIRED")))</f>
        <v/>
      </c>
    </row>
    <row r="547" spans="1:63" ht="15" customHeight="1" x14ac:dyDescent="0.25">
      <c r="A547" s="40"/>
      <c r="BG547" s="39" t="str">
        <f t="shared" si="32"/>
        <v/>
      </c>
      <c r="BH547" s="39" t="str">
        <f t="shared" si="33"/>
        <v/>
      </c>
      <c r="BI547" s="39" t="str">
        <f t="shared" si="34"/>
        <v/>
      </c>
      <c r="BJ547" t="str">
        <f t="shared" si="35"/>
        <v/>
      </c>
      <c r="BK547" s="39" t="str">
        <f>IF(A547="","",IF(BI547&lt;&gt;TRUE(),"No specific plan",IF(ISNUMBER(BJ547),IF(BJ547&lt;'Exec Summary'!$C$4,"Resolved before Feb 2027","Resolved after Feb 2027"),"CLIENT INPUT REQUIRED")))</f>
        <v/>
      </c>
    </row>
    <row r="548" spans="1:63" ht="15" customHeight="1" x14ac:dyDescent="0.25">
      <c r="A548" s="40"/>
      <c r="BG548" s="39" t="str">
        <f t="shared" si="32"/>
        <v/>
      </c>
      <c r="BH548" s="39" t="str">
        <f t="shared" si="33"/>
        <v/>
      </c>
      <c r="BI548" s="39" t="str">
        <f t="shared" si="34"/>
        <v/>
      </c>
      <c r="BJ548" t="str">
        <f t="shared" si="35"/>
        <v/>
      </c>
      <c r="BK548" s="39" t="str">
        <f>IF(A548="","",IF(BI548&lt;&gt;TRUE(),"No specific plan",IF(ISNUMBER(BJ548),IF(BJ548&lt;'Exec Summary'!$C$4,"Resolved before Feb 2027","Resolved after Feb 2027"),"CLIENT INPUT REQUIRED")))</f>
        <v/>
      </c>
    </row>
    <row r="549" spans="1:63" ht="15" customHeight="1" x14ac:dyDescent="0.25">
      <c r="A549" s="40"/>
      <c r="BG549" s="39" t="str">
        <f t="shared" si="32"/>
        <v/>
      </c>
      <c r="BH549" s="39" t="str">
        <f t="shared" si="33"/>
        <v/>
      </c>
      <c r="BI549" s="39" t="str">
        <f t="shared" si="34"/>
        <v/>
      </c>
      <c r="BJ549" t="str">
        <f t="shared" si="35"/>
        <v/>
      </c>
      <c r="BK549" s="39" t="str">
        <f>IF(A549="","",IF(BI549&lt;&gt;TRUE(),"No specific plan",IF(ISNUMBER(BJ549),IF(BJ549&lt;'Exec Summary'!$C$4,"Resolved before Feb 2027","Resolved after Feb 2027"),"CLIENT INPUT REQUIRED")))</f>
        <v/>
      </c>
    </row>
    <row r="550" spans="1:63" ht="15" customHeight="1" x14ac:dyDescent="0.25">
      <c r="A550" s="40"/>
      <c r="BG550" s="39" t="str">
        <f t="shared" si="32"/>
        <v/>
      </c>
      <c r="BH550" s="39" t="str">
        <f t="shared" si="33"/>
        <v/>
      </c>
      <c r="BI550" s="39" t="str">
        <f t="shared" si="34"/>
        <v/>
      </c>
      <c r="BJ550" t="str">
        <f t="shared" si="35"/>
        <v/>
      </c>
      <c r="BK550" s="39" t="str">
        <f>IF(A550="","",IF(BI550&lt;&gt;TRUE(),"No specific plan",IF(ISNUMBER(BJ550),IF(BJ550&lt;'Exec Summary'!$C$4,"Resolved before Feb 2027","Resolved after Feb 2027"),"CLIENT INPUT REQUIRED")))</f>
        <v/>
      </c>
    </row>
    <row r="551" spans="1:63" ht="15" customHeight="1" x14ac:dyDescent="0.25">
      <c r="A551" s="40"/>
      <c r="BG551" s="39" t="str">
        <f t="shared" si="32"/>
        <v/>
      </c>
      <c r="BH551" s="39" t="str">
        <f t="shared" si="33"/>
        <v/>
      </c>
      <c r="BI551" s="39" t="str">
        <f t="shared" si="34"/>
        <v/>
      </c>
      <c r="BJ551" t="str">
        <f t="shared" si="35"/>
        <v/>
      </c>
      <c r="BK551" s="39" t="str">
        <f>IF(A551="","",IF(BI551&lt;&gt;TRUE(),"No specific plan",IF(ISNUMBER(BJ551),IF(BJ551&lt;'Exec Summary'!$C$4,"Resolved before Feb 2027","Resolved after Feb 2027"),"CLIENT INPUT REQUIRED")))</f>
        <v/>
      </c>
    </row>
    <row r="552" spans="1:63" ht="15" customHeight="1" x14ac:dyDescent="0.25">
      <c r="A552" s="40"/>
      <c r="BG552" s="39" t="str">
        <f t="shared" si="32"/>
        <v/>
      </c>
      <c r="BH552" s="39" t="str">
        <f t="shared" si="33"/>
        <v/>
      </c>
      <c r="BI552" s="39" t="str">
        <f t="shared" si="34"/>
        <v/>
      </c>
      <c r="BJ552" t="str">
        <f t="shared" si="35"/>
        <v/>
      </c>
      <c r="BK552" s="39" t="str">
        <f>IF(A552="","",IF(BI552&lt;&gt;TRUE(),"No specific plan",IF(ISNUMBER(BJ552),IF(BJ552&lt;'Exec Summary'!$C$4,"Resolved before Feb 2027","Resolved after Feb 2027"),"CLIENT INPUT REQUIRED")))</f>
        <v/>
      </c>
    </row>
    <row r="553" spans="1:63" ht="15" customHeight="1" x14ac:dyDescent="0.25">
      <c r="A553" s="40"/>
      <c r="BG553" s="39" t="str">
        <f t="shared" si="32"/>
        <v/>
      </c>
      <c r="BH553" s="39" t="str">
        <f t="shared" si="33"/>
        <v/>
      </c>
      <c r="BI553" s="39" t="str">
        <f t="shared" si="34"/>
        <v/>
      </c>
      <c r="BJ553" t="str">
        <f t="shared" si="35"/>
        <v/>
      </c>
      <c r="BK553" s="39" t="str">
        <f>IF(A553="","",IF(BI553&lt;&gt;TRUE(),"No specific plan",IF(ISNUMBER(BJ553),IF(BJ553&lt;'Exec Summary'!$C$4,"Resolved before Feb 2027","Resolved after Feb 2027"),"CLIENT INPUT REQUIRED")))</f>
        <v/>
      </c>
    </row>
    <row r="554" spans="1:63" ht="15" customHeight="1" x14ac:dyDescent="0.25">
      <c r="A554" s="40"/>
      <c r="BG554" s="39" t="str">
        <f t="shared" si="32"/>
        <v/>
      </c>
      <c r="BH554" s="39" t="str">
        <f t="shared" si="33"/>
        <v/>
      </c>
      <c r="BI554" s="39" t="str">
        <f t="shared" si="34"/>
        <v/>
      </c>
      <c r="BJ554" t="str">
        <f t="shared" si="35"/>
        <v/>
      </c>
      <c r="BK554" s="39" t="str">
        <f>IF(A554="","",IF(BI554&lt;&gt;TRUE(),"No specific plan",IF(ISNUMBER(BJ554),IF(BJ554&lt;'Exec Summary'!$C$4,"Resolved before Feb 2027","Resolved after Feb 2027"),"CLIENT INPUT REQUIRED")))</f>
        <v/>
      </c>
    </row>
    <row r="555" spans="1:63" ht="15" customHeight="1" x14ac:dyDescent="0.25">
      <c r="A555" s="40"/>
      <c r="BG555" s="39" t="str">
        <f t="shared" si="32"/>
        <v/>
      </c>
      <c r="BH555" s="39" t="str">
        <f t="shared" si="33"/>
        <v/>
      </c>
      <c r="BI555" s="39" t="str">
        <f t="shared" si="34"/>
        <v/>
      </c>
      <c r="BJ555" t="str">
        <f t="shared" si="35"/>
        <v/>
      </c>
      <c r="BK555" s="39" t="str">
        <f>IF(A555="","",IF(BI555&lt;&gt;TRUE(),"No specific plan",IF(ISNUMBER(BJ555),IF(BJ555&lt;'Exec Summary'!$C$4,"Resolved before Feb 2027","Resolved after Feb 2027"),"CLIENT INPUT REQUIRED")))</f>
        <v/>
      </c>
    </row>
    <row r="556" spans="1:63" ht="15" customHeight="1" x14ac:dyDescent="0.25">
      <c r="A556" s="40"/>
      <c r="BG556" s="39" t="str">
        <f t="shared" si="32"/>
        <v/>
      </c>
      <c r="BH556" s="39" t="str">
        <f t="shared" si="33"/>
        <v/>
      </c>
      <c r="BI556" s="39" t="str">
        <f t="shared" si="34"/>
        <v/>
      </c>
      <c r="BJ556" t="str">
        <f t="shared" si="35"/>
        <v/>
      </c>
      <c r="BK556" s="39" t="str">
        <f>IF(A556="","",IF(BI556&lt;&gt;TRUE(),"No specific plan",IF(ISNUMBER(BJ556),IF(BJ556&lt;'Exec Summary'!$C$4,"Resolved before Feb 2027","Resolved after Feb 2027"),"CLIENT INPUT REQUIRED")))</f>
        <v/>
      </c>
    </row>
    <row r="557" spans="1:63" ht="15" customHeight="1" x14ac:dyDescent="0.25">
      <c r="A557" s="40"/>
      <c r="BG557" s="39" t="str">
        <f t="shared" si="32"/>
        <v/>
      </c>
      <c r="BH557" s="39" t="str">
        <f t="shared" si="33"/>
        <v/>
      </c>
      <c r="BI557" s="39" t="str">
        <f t="shared" si="34"/>
        <v/>
      </c>
      <c r="BJ557" t="str">
        <f t="shared" si="35"/>
        <v/>
      </c>
      <c r="BK557" s="39" t="str">
        <f>IF(A557="","",IF(BI557&lt;&gt;TRUE(),"No specific plan",IF(ISNUMBER(BJ557),IF(BJ557&lt;'Exec Summary'!$C$4,"Resolved before Feb 2027","Resolved after Feb 2027"),"CLIENT INPUT REQUIRED")))</f>
        <v/>
      </c>
    </row>
    <row r="558" spans="1:63" ht="15" customHeight="1" x14ac:dyDescent="0.25">
      <c r="A558" s="40"/>
      <c r="BG558" s="39" t="str">
        <f t="shared" si="32"/>
        <v/>
      </c>
      <c r="BH558" s="39" t="str">
        <f t="shared" si="33"/>
        <v/>
      </c>
      <c r="BI558" s="39" t="str">
        <f t="shared" si="34"/>
        <v/>
      </c>
      <c r="BJ558" t="str">
        <f t="shared" si="35"/>
        <v/>
      </c>
      <c r="BK558" s="39" t="str">
        <f>IF(A558="","",IF(BI558&lt;&gt;TRUE(),"No specific plan",IF(ISNUMBER(BJ558),IF(BJ558&lt;'Exec Summary'!$C$4,"Resolved before Feb 2027","Resolved after Feb 2027"),"CLIENT INPUT REQUIRED")))</f>
        <v/>
      </c>
    </row>
    <row r="559" spans="1:63" ht="15" customHeight="1" x14ac:dyDescent="0.25">
      <c r="A559" s="40"/>
      <c r="BG559" s="39" t="str">
        <f t="shared" si="32"/>
        <v/>
      </c>
      <c r="BH559" s="39" t="str">
        <f t="shared" si="33"/>
        <v/>
      </c>
      <c r="BI559" s="39" t="str">
        <f t="shared" si="34"/>
        <v/>
      </c>
      <c r="BJ559" t="str">
        <f t="shared" si="35"/>
        <v/>
      </c>
      <c r="BK559" s="39" t="str">
        <f>IF(A559="","",IF(BI559&lt;&gt;TRUE(),"No specific plan",IF(ISNUMBER(BJ559),IF(BJ559&lt;'Exec Summary'!$C$4,"Resolved before Feb 2027","Resolved after Feb 2027"),"CLIENT INPUT REQUIRED")))</f>
        <v/>
      </c>
    </row>
    <row r="560" spans="1:63" ht="15" customHeight="1" x14ac:dyDescent="0.25">
      <c r="A560" s="40"/>
      <c r="BG560" s="39" t="str">
        <f t="shared" si="32"/>
        <v/>
      </c>
      <c r="BH560" s="39" t="str">
        <f t="shared" si="33"/>
        <v/>
      </c>
      <c r="BI560" s="39" t="str">
        <f t="shared" si="34"/>
        <v/>
      </c>
      <c r="BJ560" t="str">
        <f t="shared" si="35"/>
        <v/>
      </c>
      <c r="BK560" s="39" t="str">
        <f>IF(A560="","",IF(BI560&lt;&gt;TRUE(),"No specific plan",IF(ISNUMBER(BJ560),IF(BJ560&lt;'Exec Summary'!$C$4,"Resolved before Feb 2027","Resolved after Feb 2027"),"CLIENT INPUT REQUIRED")))</f>
        <v/>
      </c>
    </row>
    <row r="561" spans="1:63" ht="15" customHeight="1" x14ac:dyDescent="0.25">
      <c r="A561" s="40"/>
      <c r="BG561" s="39" t="str">
        <f t="shared" si="32"/>
        <v/>
      </c>
      <c r="BH561" s="39" t="str">
        <f t="shared" si="33"/>
        <v/>
      </c>
      <c r="BI561" s="39" t="str">
        <f t="shared" si="34"/>
        <v/>
      </c>
      <c r="BJ561" t="str">
        <f t="shared" si="35"/>
        <v/>
      </c>
      <c r="BK561" s="39" t="str">
        <f>IF(A561="","",IF(BI561&lt;&gt;TRUE(),"No specific plan",IF(ISNUMBER(BJ561),IF(BJ561&lt;'Exec Summary'!$C$4,"Resolved before Feb 2027","Resolved after Feb 2027"),"CLIENT INPUT REQUIRED")))</f>
        <v/>
      </c>
    </row>
    <row r="562" spans="1:63" ht="15" customHeight="1" x14ac:dyDescent="0.25">
      <c r="A562" s="40"/>
      <c r="BG562" s="39" t="str">
        <f t="shared" si="32"/>
        <v/>
      </c>
      <c r="BH562" s="39" t="str">
        <f t="shared" si="33"/>
        <v/>
      </c>
      <c r="BI562" s="39" t="str">
        <f t="shared" si="34"/>
        <v/>
      </c>
      <c r="BJ562" t="str">
        <f t="shared" si="35"/>
        <v/>
      </c>
      <c r="BK562" s="39" t="str">
        <f>IF(A562="","",IF(BI562&lt;&gt;TRUE(),"No specific plan",IF(ISNUMBER(BJ562),IF(BJ562&lt;'Exec Summary'!$C$4,"Resolved before Feb 2027","Resolved after Feb 2027"),"CLIENT INPUT REQUIRED")))</f>
        <v/>
      </c>
    </row>
    <row r="563" spans="1:63" ht="15" customHeight="1" x14ac:dyDescent="0.25">
      <c r="A563" s="40"/>
      <c r="BG563" s="39" t="str">
        <f t="shared" si="32"/>
        <v/>
      </c>
      <c r="BH563" s="39" t="str">
        <f t="shared" si="33"/>
        <v/>
      </c>
      <c r="BI563" s="39" t="str">
        <f t="shared" si="34"/>
        <v/>
      </c>
      <c r="BJ563" t="str">
        <f t="shared" si="35"/>
        <v/>
      </c>
      <c r="BK563" s="39" t="str">
        <f>IF(A563="","",IF(BI563&lt;&gt;TRUE(),"No specific plan",IF(ISNUMBER(BJ563),IF(BJ563&lt;'Exec Summary'!$C$4,"Resolved before Feb 2027","Resolved after Feb 2027"),"CLIENT INPUT REQUIRED")))</f>
        <v/>
      </c>
    </row>
    <row r="564" spans="1:63" ht="15" customHeight="1" x14ac:dyDescent="0.25">
      <c r="A564" s="40"/>
      <c r="BG564" s="39" t="str">
        <f t="shared" si="32"/>
        <v/>
      </c>
      <c r="BH564" s="39" t="str">
        <f t="shared" si="33"/>
        <v/>
      </c>
      <c r="BI564" s="39" t="str">
        <f t="shared" si="34"/>
        <v/>
      </c>
      <c r="BJ564" t="str">
        <f t="shared" si="35"/>
        <v/>
      </c>
      <c r="BK564" s="39" t="str">
        <f>IF(A564="","",IF(BI564&lt;&gt;TRUE(),"No specific plan",IF(ISNUMBER(BJ564),IF(BJ564&lt;'Exec Summary'!$C$4,"Resolved before Feb 2027","Resolved after Feb 2027"),"CLIENT INPUT REQUIRED")))</f>
        <v/>
      </c>
    </row>
    <row r="565" spans="1:63" ht="15" customHeight="1" x14ac:dyDescent="0.25">
      <c r="A565" s="40"/>
      <c r="BG565" s="39" t="str">
        <f t="shared" si="32"/>
        <v/>
      </c>
      <c r="BH565" s="39" t="str">
        <f t="shared" si="33"/>
        <v/>
      </c>
      <c r="BI565" s="39" t="str">
        <f t="shared" si="34"/>
        <v/>
      </c>
      <c r="BJ565" t="str">
        <f t="shared" si="35"/>
        <v/>
      </c>
      <c r="BK565" s="39" t="str">
        <f>IF(A565="","",IF(BI565&lt;&gt;TRUE(),"No specific plan",IF(ISNUMBER(BJ565),IF(BJ565&lt;'Exec Summary'!$C$4,"Resolved before Feb 2027","Resolved after Feb 2027"),"CLIENT INPUT REQUIRED")))</f>
        <v/>
      </c>
    </row>
    <row r="566" spans="1:63" ht="15" customHeight="1" x14ac:dyDescent="0.25">
      <c r="A566" s="40"/>
      <c r="BG566" s="39" t="str">
        <f t="shared" si="32"/>
        <v/>
      </c>
      <c r="BH566" s="39" t="str">
        <f t="shared" si="33"/>
        <v/>
      </c>
      <c r="BI566" s="39" t="str">
        <f t="shared" si="34"/>
        <v/>
      </c>
      <c r="BJ566" t="str">
        <f t="shared" si="35"/>
        <v/>
      </c>
      <c r="BK566" s="39" t="str">
        <f>IF(A566="","",IF(BI566&lt;&gt;TRUE(),"No specific plan",IF(ISNUMBER(BJ566),IF(BJ566&lt;'Exec Summary'!$C$4,"Resolved before Feb 2027","Resolved after Feb 2027"),"CLIENT INPUT REQUIRED")))</f>
        <v/>
      </c>
    </row>
    <row r="567" spans="1:63" ht="15" customHeight="1" x14ac:dyDescent="0.25">
      <c r="A567" s="40"/>
      <c r="BG567" s="39" t="str">
        <f t="shared" si="32"/>
        <v/>
      </c>
      <c r="BH567" s="39" t="str">
        <f t="shared" si="33"/>
        <v/>
      </c>
      <c r="BI567" s="39" t="str">
        <f t="shared" si="34"/>
        <v/>
      </c>
      <c r="BJ567" t="str">
        <f t="shared" si="35"/>
        <v/>
      </c>
      <c r="BK567" s="39" t="str">
        <f>IF(A567="","",IF(BI567&lt;&gt;TRUE(),"No specific plan",IF(ISNUMBER(BJ567),IF(BJ567&lt;'Exec Summary'!$C$4,"Resolved before Feb 2027","Resolved after Feb 2027"),"CLIENT INPUT REQUIRED")))</f>
        <v/>
      </c>
    </row>
    <row r="568" spans="1:63" ht="15" customHeight="1" x14ac:dyDescent="0.25">
      <c r="A568" s="40"/>
      <c r="BG568" s="39" t="str">
        <f t="shared" si="32"/>
        <v/>
      </c>
      <c r="BH568" s="39" t="str">
        <f t="shared" si="33"/>
        <v/>
      </c>
      <c r="BI568" s="39" t="str">
        <f t="shared" si="34"/>
        <v/>
      </c>
      <c r="BJ568" t="str">
        <f t="shared" si="35"/>
        <v/>
      </c>
      <c r="BK568" s="39" t="str">
        <f>IF(A568="","",IF(BI568&lt;&gt;TRUE(),"No specific plan",IF(ISNUMBER(BJ568),IF(BJ568&lt;'Exec Summary'!$C$4,"Resolved before Feb 2027","Resolved after Feb 2027"),"CLIENT INPUT REQUIRED")))</f>
        <v/>
      </c>
    </row>
    <row r="569" spans="1:63" ht="15" customHeight="1" x14ac:dyDescent="0.25">
      <c r="A569" s="40"/>
      <c r="BG569" s="39" t="str">
        <f t="shared" si="32"/>
        <v/>
      </c>
      <c r="BH569" s="39" t="str">
        <f t="shared" si="33"/>
        <v/>
      </c>
      <c r="BI569" s="39" t="str">
        <f t="shared" si="34"/>
        <v/>
      </c>
      <c r="BJ569" t="str">
        <f t="shared" si="35"/>
        <v/>
      </c>
      <c r="BK569" s="39" t="str">
        <f>IF(A569="","",IF(BI569&lt;&gt;TRUE(),"No specific plan",IF(ISNUMBER(BJ569),IF(BJ569&lt;'Exec Summary'!$C$4,"Resolved before Feb 2027","Resolved after Feb 2027"),"CLIENT INPUT REQUIRED")))</f>
        <v/>
      </c>
    </row>
    <row r="570" spans="1:63" ht="15" customHeight="1" x14ac:dyDescent="0.25">
      <c r="A570" s="40"/>
      <c r="BG570" s="39" t="str">
        <f t="shared" si="32"/>
        <v/>
      </c>
      <c r="BH570" s="39" t="str">
        <f t="shared" si="33"/>
        <v/>
      </c>
      <c r="BI570" s="39" t="str">
        <f t="shared" si="34"/>
        <v/>
      </c>
      <c r="BJ570" t="str">
        <f t="shared" si="35"/>
        <v/>
      </c>
      <c r="BK570" s="39" t="str">
        <f>IF(A570="","",IF(BI570&lt;&gt;TRUE(),"No specific plan",IF(ISNUMBER(BJ570),IF(BJ570&lt;'Exec Summary'!$C$4,"Resolved before Feb 2027","Resolved after Feb 2027"),"CLIENT INPUT REQUIRED")))</f>
        <v/>
      </c>
    </row>
    <row r="571" spans="1:63" ht="15" customHeight="1" x14ac:dyDescent="0.25">
      <c r="A571" s="40"/>
      <c r="BG571" s="39" t="str">
        <f t="shared" si="32"/>
        <v/>
      </c>
      <c r="BH571" s="39" t="str">
        <f t="shared" si="33"/>
        <v/>
      </c>
      <c r="BI571" s="39" t="str">
        <f t="shared" si="34"/>
        <v/>
      </c>
      <c r="BJ571" t="str">
        <f t="shared" si="35"/>
        <v/>
      </c>
      <c r="BK571" s="39" t="str">
        <f>IF(A571="","",IF(BI571&lt;&gt;TRUE(),"No specific plan",IF(ISNUMBER(BJ571),IF(BJ571&lt;'Exec Summary'!$C$4,"Resolved before Feb 2027","Resolved after Feb 2027"),"CLIENT INPUT REQUIRED")))</f>
        <v/>
      </c>
    </row>
    <row r="572" spans="1:63" ht="15" customHeight="1" x14ac:dyDescent="0.25">
      <c r="A572" s="40"/>
      <c r="BG572" s="39" t="str">
        <f t="shared" si="32"/>
        <v/>
      </c>
      <c r="BH572" s="39" t="str">
        <f t="shared" si="33"/>
        <v/>
      </c>
      <c r="BI572" s="39" t="str">
        <f t="shared" si="34"/>
        <v/>
      </c>
      <c r="BJ572" t="str">
        <f t="shared" si="35"/>
        <v/>
      </c>
      <c r="BK572" s="39" t="str">
        <f>IF(A572="","",IF(BI572&lt;&gt;TRUE(),"No specific plan",IF(ISNUMBER(BJ572),IF(BJ572&lt;'Exec Summary'!$C$4,"Resolved before Feb 2027","Resolved after Feb 2027"),"CLIENT INPUT REQUIRED")))</f>
        <v/>
      </c>
    </row>
    <row r="573" spans="1:63" ht="15" customHeight="1" x14ac:dyDescent="0.25">
      <c r="A573" s="40"/>
      <c r="BG573" s="39" t="str">
        <f t="shared" si="32"/>
        <v/>
      </c>
      <c r="BH573" s="39" t="str">
        <f t="shared" si="33"/>
        <v/>
      </c>
      <c r="BI573" s="39" t="str">
        <f t="shared" si="34"/>
        <v/>
      </c>
      <c r="BJ573" t="str">
        <f t="shared" si="35"/>
        <v/>
      </c>
      <c r="BK573" s="39" t="str">
        <f>IF(A573="","",IF(BI573&lt;&gt;TRUE(),"No specific plan",IF(ISNUMBER(BJ573),IF(BJ573&lt;'Exec Summary'!$C$4,"Resolved before Feb 2027","Resolved after Feb 2027"),"CLIENT INPUT REQUIRED")))</f>
        <v/>
      </c>
    </row>
    <row r="574" spans="1:63" ht="15" customHeight="1" x14ac:dyDescent="0.25">
      <c r="A574" s="40"/>
      <c r="BG574" s="39" t="str">
        <f t="shared" si="32"/>
        <v/>
      </c>
      <c r="BH574" s="39" t="str">
        <f t="shared" si="33"/>
        <v/>
      </c>
      <c r="BI574" s="39" t="str">
        <f t="shared" si="34"/>
        <v/>
      </c>
      <c r="BJ574" t="str">
        <f t="shared" si="35"/>
        <v/>
      </c>
      <c r="BK574" s="39" t="str">
        <f>IF(A574="","",IF(BI574&lt;&gt;TRUE(),"No specific plan",IF(ISNUMBER(BJ574),IF(BJ574&lt;'Exec Summary'!$C$4,"Resolved before Feb 2027","Resolved after Feb 2027"),"CLIENT INPUT REQUIRED")))</f>
        <v/>
      </c>
    </row>
    <row r="575" spans="1:63" ht="15" customHeight="1" x14ac:dyDescent="0.25">
      <c r="A575" s="40"/>
      <c r="BG575" s="39" t="str">
        <f t="shared" si="32"/>
        <v/>
      </c>
      <c r="BH575" s="39" t="str">
        <f t="shared" si="33"/>
        <v/>
      </c>
      <c r="BI575" s="39" t="str">
        <f t="shared" si="34"/>
        <v/>
      </c>
      <c r="BJ575" t="str">
        <f t="shared" si="35"/>
        <v/>
      </c>
      <c r="BK575" s="39" t="str">
        <f>IF(A575="","",IF(BI575&lt;&gt;TRUE(),"No specific plan",IF(ISNUMBER(BJ575),IF(BJ575&lt;'Exec Summary'!$C$4,"Resolved before Feb 2027","Resolved after Feb 2027"),"CLIENT INPUT REQUIRED")))</f>
        <v/>
      </c>
    </row>
    <row r="576" spans="1:63" ht="15" customHeight="1" x14ac:dyDescent="0.25">
      <c r="A576" s="40"/>
      <c r="BG576" s="39" t="str">
        <f t="shared" si="32"/>
        <v/>
      </c>
      <c r="BH576" s="39" t="str">
        <f t="shared" si="33"/>
        <v/>
      </c>
      <c r="BI576" s="39" t="str">
        <f t="shared" si="34"/>
        <v/>
      </c>
      <c r="BJ576" t="str">
        <f t="shared" si="35"/>
        <v/>
      </c>
      <c r="BK576" s="39" t="str">
        <f>IF(A576="","",IF(BI576&lt;&gt;TRUE(),"No specific plan",IF(ISNUMBER(BJ576),IF(BJ576&lt;'Exec Summary'!$C$4,"Resolved before Feb 2027","Resolved after Feb 2027"),"CLIENT INPUT REQUIRED")))</f>
        <v/>
      </c>
    </row>
    <row r="577" spans="1:63" ht="15" customHeight="1" x14ac:dyDescent="0.25">
      <c r="A577" s="40"/>
      <c r="BG577" s="39" t="str">
        <f t="shared" si="32"/>
        <v/>
      </c>
      <c r="BH577" s="39" t="str">
        <f t="shared" si="33"/>
        <v/>
      </c>
      <c r="BI577" s="39" t="str">
        <f t="shared" si="34"/>
        <v/>
      </c>
      <c r="BJ577" t="str">
        <f t="shared" si="35"/>
        <v/>
      </c>
      <c r="BK577" s="39" t="str">
        <f>IF(A577="","",IF(BI577&lt;&gt;TRUE(),"No specific plan",IF(ISNUMBER(BJ577),IF(BJ577&lt;'Exec Summary'!$C$4,"Resolved before Feb 2027","Resolved after Feb 2027"),"CLIENT INPUT REQUIRED")))</f>
        <v/>
      </c>
    </row>
    <row r="578" spans="1:63" ht="15" customHeight="1" x14ac:dyDescent="0.25">
      <c r="A578" s="40"/>
      <c r="BG578" s="39" t="str">
        <f t="shared" si="32"/>
        <v/>
      </c>
      <c r="BH578" s="39" t="str">
        <f t="shared" si="33"/>
        <v/>
      </c>
      <c r="BI578" s="39" t="str">
        <f t="shared" si="34"/>
        <v/>
      </c>
      <c r="BJ578" t="str">
        <f t="shared" si="35"/>
        <v/>
      </c>
      <c r="BK578" s="39" t="str">
        <f>IF(A578="","",IF(BI578&lt;&gt;TRUE(),"No specific plan",IF(ISNUMBER(BJ578),IF(BJ578&lt;'Exec Summary'!$C$4,"Resolved before Feb 2027","Resolved after Feb 2027"),"CLIENT INPUT REQUIRED")))</f>
        <v/>
      </c>
    </row>
    <row r="579" spans="1:63" ht="15" customHeight="1" x14ac:dyDescent="0.25">
      <c r="A579" s="40"/>
      <c r="BG579" s="39" t="str">
        <f t="shared" si="32"/>
        <v/>
      </c>
      <c r="BH579" s="39" t="str">
        <f t="shared" si="33"/>
        <v/>
      </c>
      <c r="BI579" s="39" t="str">
        <f t="shared" si="34"/>
        <v/>
      </c>
      <c r="BJ579" t="str">
        <f t="shared" si="35"/>
        <v/>
      </c>
      <c r="BK579" s="39" t="str">
        <f>IF(A579="","",IF(BI579&lt;&gt;TRUE(),"No specific plan",IF(ISNUMBER(BJ579),IF(BJ579&lt;'Exec Summary'!$C$4,"Resolved before Feb 2027","Resolved after Feb 2027"),"CLIENT INPUT REQUIRED")))</f>
        <v/>
      </c>
    </row>
    <row r="580" spans="1:63" ht="15" customHeight="1" x14ac:dyDescent="0.25">
      <c r="A580" s="40"/>
      <c r="BG580" s="39" t="str">
        <f t="shared" ref="BG580:BG603" si="36">IF(A580="","",AND(TRIM(G580&amp;"")&lt;&gt;"",UPPER(TRIM(G580&amp;""))&lt;&gt;"NO"))</f>
        <v/>
      </c>
      <c r="BH580" s="39" t="str">
        <f t="shared" ref="BH580:BH603" si="37">IF(J580="","",IF(ISNUMBER(SEARCH("absen",J580)),"Absence of Drainage Network",IF(OR(ISNUMBER(SEARCH("design",J580)),ISNUMBER(SEARCH("capacity",J580))),"Inadequate Design Capacity",IF(OR(ISNUMBER(SEARCH("upgrade",J580)),ISNUMBER(SEARCH("network",J580)),ISNUMBER(SEARCH("topog",J580)),ISNUMBER(SEARCH("road",J580))),"Topography &amp; Road Engineering","CHECK - map manually"))))</f>
        <v/>
      </c>
      <c r="BI580" s="39" t="str">
        <f t="shared" ref="BI580:BI603" si="38">IF(A580="","",AND(UPPER(TRIM(BF580&amp;""))="IDD",OR(TRIM(AN580&amp;"")&lt;&gt;"",TRIM(AY580&amp;"")&lt;&gt;"",TRIM(AZ580&amp;"")&lt;&gt;"")))</f>
        <v/>
      </c>
      <c r="BJ580" t="str">
        <f t="shared" ref="BJ580:BJ603" si="39">IF(A580="","",IF(ISNUMBER(AZ580),AZ580,"CLIENT INPUT REQUIRED"))</f>
        <v/>
      </c>
      <c r="BK580" s="39" t="str">
        <f>IF(A580="","",IF(BI580&lt;&gt;TRUE(),"No specific plan",IF(ISNUMBER(BJ580),IF(BJ580&lt;'Exec Summary'!$C$4,"Resolved before Feb 2027","Resolved after Feb 2027"),"CLIENT INPUT REQUIRED")))</f>
        <v/>
      </c>
    </row>
    <row r="581" spans="1:63" ht="15" customHeight="1" x14ac:dyDescent="0.25">
      <c r="A581" s="40"/>
      <c r="BG581" s="39" t="str">
        <f t="shared" si="36"/>
        <v/>
      </c>
      <c r="BH581" s="39" t="str">
        <f t="shared" si="37"/>
        <v/>
      </c>
      <c r="BI581" s="39" t="str">
        <f t="shared" si="38"/>
        <v/>
      </c>
      <c r="BJ581" t="str">
        <f t="shared" si="39"/>
        <v/>
      </c>
      <c r="BK581" s="39" t="str">
        <f>IF(A581="","",IF(BI581&lt;&gt;TRUE(),"No specific plan",IF(ISNUMBER(BJ581),IF(BJ581&lt;'Exec Summary'!$C$4,"Resolved before Feb 2027","Resolved after Feb 2027"),"CLIENT INPUT REQUIRED")))</f>
        <v/>
      </c>
    </row>
    <row r="582" spans="1:63" ht="15" customHeight="1" x14ac:dyDescent="0.25">
      <c r="A582" s="40"/>
      <c r="BG582" s="39" t="str">
        <f t="shared" si="36"/>
        <v/>
      </c>
      <c r="BH582" s="39" t="str">
        <f t="shared" si="37"/>
        <v/>
      </c>
      <c r="BI582" s="39" t="str">
        <f t="shared" si="38"/>
        <v/>
      </c>
      <c r="BJ582" t="str">
        <f t="shared" si="39"/>
        <v/>
      </c>
      <c r="BK582" s="39" t="str">
        <f>IF(A582="","",IF(BI582&lt;&gt;TRUE(),"No specific plan",IF(ISNUMBER(BJ582),IF(BJ582&lt;'Exec Summary'!$C$4,"Resolved before Feb 2027","Resolved after Feb 2027"),"CLIENT INPUT REQUIRED")))</f>
        <v/>
      </c>
    </row>
    <row r="583" spans="1:63" ht="15" customHeight="1" x14ac:dyDescent="0.25">
      <c r="A583" s="40"/>
      <c r="BG583" s="39" t="str">
        <f t="shared" si="36"/>
        <v/>
      </c>
      <c r="BH583" s="39" t="str">
        <f t="shared" si="37"/>
        <v/>
      </c>
      <c r="BI583" s="39" t="str">
        <f t="shared" si="38"/>
        <v/>
      </c>
      <c r="BJ583" t="str">
        <f t="shared" si="39"/>
        <v/>
      </c>
      <c r="BK583" s="39" t="str">
        <f>IF(A583="","",IF(BI583&lt;&gt;TRUE(),"No specific plan",IF(ISNUMBER(BJ583),IF(BJ583&lt;'Exec Summary'!$C$4,"Resolved before Feb 2027","Resolved after Feb 2027"),"CLIENT INPUT REQUIRED")))</f>
        <v/>
      </c>
    </row>
    <row r="584" spans="1:63" ht="15" customHeight="1" x14ac:dyDescent="0.25">
      <c r="A584" s="40"/>
      <c r="BG584" s="39" t="str">
        <f t="shared" si="36"/>
        <v/>
      </c>
      <c r="BH584" s="39" t="str">
        <f t="shared" si="37"/>
        <v/>
      </c>
      <c r="BI584" s="39" t="str">
        <f t="shared" si="38"/>
        <v/>
      </c>
      <c r="BJ584" t="str">
        <f t="shared" si="39"/>
        <v/>
      </c>
      <c r="BK584" s="39" t="str">
        <f>IF(A584="","",IF(BI584&lt;&gt;TRUE(),"No specific plan",IF(ISNUMBER(BJ584),IF(BJ584&lt;'Exec Summary'!$C$4,"Resolved before Feb 2027","Resolved after Feb 2027"),"CLIENT INPUT REQUIRED")))</f>
        <v/>
      </c>
    </row>
    <row r="585" spans="1:63" ht="15" customHeight="1" x14ac:dyDescent="0.25">
      <c r="A585" s="40"/>
      <c r="BG585" s="39" t="str">
        <f t="shared" si="36"/>
        <v/>
      </c>
      <c r="BH585" s="39" t="str">
        <f t="shared" si="37"/>
        <v/>
      </c>
      <c r="BI585" s="39" t="str">
        <f t="shared" si="38"/>
        <v/>
      </c>
      <c r="BJ585" t="str">
        <f t="shared" si="39"/>
        <v/>
      </c>
      <c r="BK585" s="39" t="str">
        <f>IF(A585="","",IF(BI585&lt;&gt;TRUE(),"No specific plan",IF(ISNUMBER(BJ585),IF(BJ585&lt;'Exec Summary'!$C$4,"Resolved before Feb 2027","Resolved after Feb 2027"),"CLIENT INPUT REQUIRED")))</f>
        <v/>
      </c>
    </row>
    <row r="586" spans="1:63" ht="15" customHeight="1" x14ac:dyDescent="0.25">
      <c r="A586" s="40"/>
      <c r="BG586" s="39" t="str">
        <f t="shared" si="36"/>
        <v/>
      </c>
      <c r="BH586" s="39" t="str">
        <f t="shared" si="37"/>
        <v/>
      </c>
      <c r="BI586" s="39" t="str">
        <f t="shared" si="38"/>
        <v/>
      </c>
      <c r="BJ586" t="str">
        <f t="shared" si="39"/>
        <v/>
      </c>
      <c r="BK586" s="39" t="str">
        <f>IF(A586="","",IF(BI586&lt;&gt;TRUE(),"No specific plan",IF(ISNUMBER(BJ586),IF(BJ586&lt;'Exec Summary'!$C$4,"Resolved before Feb 2027","Resolved after Feb 2027"),"CLIENT INPUT REQUIRED")))</f>
        <v/>
      </c>
    </row>
    <row r="587" spans="1:63" ht="15" customHeight="1" x14ac:dyDescent="0.25">
      <c r="A587" s="40"/>
      <c r="BG587" s="39" t="str">
        <f t="shared" si="36"/>
        <v/>
      </c>
      <c r="BH587" s="39" t="str">
        <f t="shared" si="37"/>
        <v/>
      </c>
      <c r="BI587" s="39" t="str">
        <f t="shared" si="38"/>
        <v/>
      </c>
      <c r="BJ587" t="str">
        <f t="shared" si="39"/>
        <v/>
      </c>
      <c r="BK587" s="39" t="str">
        <f>IF(A587="","",IF(BI587&lt;&gt;TRUE(),"No specific plan",IF(ISNUMBER(BJ587),IF(BJ587&lt;'Exec Summary'!$C$4,"Resolved before Feb 2027","Resolved after Feb 2027"),"CLIENT INPUT REQUIRED")))</f>
        <v/>
      </c>
    </row>
    <row r="588" spans="1:63" ht="15" customHeight="1" x14ac:dyDescent="0.25">
      <c r="A588" s="40"/>
      <c r="BG588" s="39" t="str">
        <f t="shared" si="36"/>
        <v/>
      </c>
      <c r="BH588" s="39" t="str">
        <f t="shared" si="37"/>
        <v/>
      </c>
      <c r="BI588" s="39" t="str">
        <f t="shared" si="38"/>
        <v/>
      </c>
      <c r="BJ588" t="str">
        <f t="shared" si="39"/>
        <v/>
      </c>
      <c r="BK588" s="39" t="str">
        <f>IF(A588="","",IF(BI588&lt;&gt;TRUE(),"No specific plan",IF(ISNUMBER(BJ588),IF(BJ588&lt;'Exec Summary'!$C$4,"Resolved before Feb 2027","Resolved after Feb 2027"),"CLIENT INPUT REQUIRED")))</f>
        <v/>
      </c>
    </row>
    <row r="589" spans="1:63" ht="15" customHeight="1" x14ac:dyDescent="0.25">
      <c r="A589" s="40"/>
      <c r="BG589" s="39" t="str">
        <f t="shared" si="36"/>
        <v/>
      </c>
      <c r="BH589" s="39" t="str">
        <f t="shared" si="37"/>
        <v/>
      </c>
      <c r="BI589" s="39" t="str">
        <f t="shared" si="38"/>
        <v/>
      </c>
      <c r="BJ589" t="str">
        <f t="shared" si="39"/>
        <v/>
      </c>
      <c r="BK589" s="39" t="str">
        <f>IF(A589="","",IF(BI589&lt;&gt;TRUE(),"No specific plan",IF(ISNUMBER(BJ589),IF(BJ589&lt;'Exec Summary'!$C$4,"Resolved before Feb 2027","Resolved after Feb 2027"),"CLIENT INPUT REQUIRED")))</f>
        <v/>
      </c>
    </row>
    <row r="590" spans="1:63" ht="15" customHeight="1" x14ac:dyDescent="0.25">
      <c r="A590" s="40"/>
      <c r="BG590" s="39" t="str">
        <f t="shared" si="36"/>
        <v/>
      </c>
      <c r="BH590" s="39" t="str">
        <f t="shared" si="37"/>
        <v/>
      </c>
      <c r="BI590" s="39" t="str">
        <f t="shared" si="38"/>
        <v/>
      </c>
      <c r="BJ590" t="str">
        <f t="shared" si="39"/>
        <v/>
      </c>
      <c r="BK590" s="39" t="str">
        <f>IF(A590="","",IF(BI590&lt;&gt;TRUE(),"No specific plan",IF(ISNUMBER(BJ590),IF(BJ590&lt;'Exec Summary'!$C$4,"Resolved before Feb 2027","Resolved after Feb 2027"),"CLIENT INPUT REQUIRED")))</f>
        <v/>
      </c>
    </row>
    <row r="591" spans="1:63" ht="15" customHeight="1" x14ac:dyDescent="0.25">
      <c r="A591" s="40"/>
      <c r="BG591" s="39" t="str">
        <f t="shared" si="36"/>
        <v/>
      </c>
      <c r="BH591" s="39" t="str">
        <f t="shared" si="37"/>
        <v/>
      </c>
      <c r="BI591" s="39" t="str">
        <f t="shared" si="38"/>
        <v/>
      </c>
      <c r="BJ591" t="str">
        <f t="shared" si="39"/>
        <v/>
      </c>
      <c r="BK591" s="39" t="str">
        <f>IF(A591="","",IF(BI591&lt;&gt;TRUE(),"No specific plan",IF(ISNUMBER(BJ591),IF(BJ591&lt;'Exec Summary'!$C$4,"Resolved before Feb 2027","Resolved after Feb 2027"),"CLIENT INPUT REQUIRED")))</f>
        <v/>
      </c>
    </row>
    <row r="592" spans="1:63" ht="15" customHeight="1" x14ac:dyDescent="0.25">
      <c r="A592" s="40"/>
      <c r="BG592" s="39" t="str">
        <f t="shared" si="36"/>
        <v/>
      </c>
      <c r="BH592" s="39" t="str">
        <f t="shared" si="37"/>
        <v/>
      </c>
      <c r="BI592" s="39" t="str">
        <f t="shared" si="38"/>
        <v/>
      </c>
      <c r="BJ592" t="str">
        <f t="shared" si="39"/>
        <v/>
      </c>
      <c r="BK592" s="39" t="str">
        <f>IF(A592="","",IF(BI592&lt;&gt;TRUE(),"No specific plan",IF(ISNUMBER(BJ592),IF(BJ592&lt;'Exec Summary'!$C$4,"Resolved before Feb 2027","Resolved after Feb 2027"),"CLIENT INPUT REQUIRED")))</f>
        <v/>
      </c>
    </row>
    <row r="593" spans="1:63" ht="15" customHeight="1" x14ac:dyDescent="0.25">
      <c r="A593" s="40"/>
      <c r="BG593" s="39" t="str">
        <f t="shared" si="36"/>
        <v/>
      </c>
      <c r="BH593" s="39" t="str">
        <f t="shared" si="37"/>
        <v/>
      </c>
      <c r="BI593" s="39" t="str">
        <f t="shared" si="38"/>
        <v/>
      </c>
      <c r="BJ593" t="str">
        <f t="shared" si="39"/>
        <v/>
      </c>
      <c r="BK593" s="39" t="str">
        <f>IF(A593="","",IF(BI593&lt;&gt;TRUE(),"No specific plan",IF(ISNUMBER(BJ593),IF(BJ593&lt;'Exec Summary'!$C$4,"Resolved before Feb 2027","Resolved after Feb 2027"),"CLIENT INPUT REQUIRED")))</f>
        <v/>
      </c>
    </row>
    <row r="594" spans="1:63" ht="15" customHeight="1" x14ac:dyDescent="0.25">
      <c r="A594" s="40"/>
      <c r="BG594" s="39" t="str">
        <f t="shared" si="36"/>
        <v/>
      </c>
      <c r="BH594" s="39" t="str">
        <f t="shared" si="37"/>
        <v/>
      </c>
      <c r="BI594" s="39" t="str">
        <f t="shared" si="38"/>
        <v/>
      </c>
      <c r="BJ594" t="str">
        <f t="shared" si="39"/>
        <v/>
      </c>
      <c r="BK594" s="39" t="str">
        <f>IF(A594="","",IF(BI594&lt;&gt;TRUE(),"No specific plan",IF(ISNUMBER(BJ594),IF(BJ594&lt;'Exec Summary'!$C$4,"Resolved before Feb 2027","Resolved after Feb 2027"),"CLIENT INPUT REQUIRED")))</f>
        <v/>
      </c>
    </row>
    <row r="595" spans="1:63" ht="15" customHeight="1" x14ac:dyDescent="0.25">
      <c r="A595" s="40"/>
      <c r="BG595" s="39" t="str">
        <f t="shared" si="36"/>
        <v/>
      </c>
      <c r="BH595" s="39" t="str">
        <f t="shared" si="37"/>
        <v/>
      </c>
      <c r="BI595" s="39" t="str">
        <f t="shared" si="38"/>
        <v/>
      </c>
      <c r="BJ595" t="str">
        <f t="shared" si="39"/>
        <v/>
      </c>
      <c r="BK595" s="39" t="str">
        <f>IF(A595="","",IF(BI595&lt;&gt;TRUE(),"No specific plan",IF(ISNUMBER(BJ595),IF(BJ595&lt;'Exec Summary'!$C$4,"Resolved before Feb 2027","Resolved after Feb 2027"),"CLIENT INPUT REQUIRED")))</f>
        <v/>
      </c>
    </row>
    <row r="596" spans="1:63" ht="15" customHeight="1" x14ac:dyDescent="0.25">
      <c r="A596" s="40"/>
      <c r="BG596" s="39" t="str">
        <f t="shared" si="36"/>
        <v/>
      </c>
      <c r="BH596" s="39" t="str">
        <f t="shared" si="37"/>
        <v/>
      </c>
      <c r="BI596" s="39" t="str">
        <f t="shared" si="38"/>
        <v/>
      </c>
      <c r="BJ596" t="str">
        <f t="shared" si="39"/>
        <v/>
      </c>
      <c r="BK596" s="39" t="str">
        <f>IF(A596="","",IF(BI596&lt;&gt;TRUE(),"No specific plan",IF(ISNUMBER(BJ596),IF(BJ596&lt;'Exec Summary'!$C$4,"Resolved before Feb 2027","Resolved after Feb 2027"),"CLIENT INPUT REQUIRED")))</f>
        <v/>
      </c>
    </row>
    <row r="597" spans="1:63" ht="15" customHeight="1" x14ac:dyDescent="0.25">
      <c r="A597" s="40"/>
      <c r="BG597" s="39" t="str">
        <f t="shared" si="36"/>
        <v/>
      </c>
      <c r="BH597" s="39" t="str">
        <f t="shared" si="37"/>
        <v/>
      </c>
      <c r="BI597" s="39" t="str">
        <f t="shared" si="38"/>
        <v/>
      </c>
      <c r="BJ597" t="str">
        <f t="shared" si="39"/>
        <v/>
      </c>
      <c r="BK597" s="39" t="str">
        <f>IF(A597="","",IF(BI597&lt;&gt;TRUE(),"No specific plan",IF(ISNUMBER(BJ597),IF(BJ597&lt;'Exec Summary'!$C$4,"Resolved before Feb 2027","Resolved after Feb 2027"),"CLIENT INPUT REQUIRED")))</f>
        <v/>
      </c>
    </row>
    <row r="598" spans="1:63" ht="15" customHeight="1" x14ac:dyDescent="0.25">
      <c r="A598" s="40"/>
      <c r="BG598" s="39" t="str">
        <f t="shared" si="36"/>
        <v/>
      </c>
      <c r="BH598" s="39" t="str">
        <f t="shared" si="37"/>
        <v/>
      </c>
      <c r="BI598" s="39" t="str">
        <f t="shared" si="38"/>
        <v/>
      </c>
      <c r="BJ598" t="str">
        <f t="shared" si="39"/>
        <v/>
      </c>
      <c r="BK598" s="39" t="str">
        <f>IF(A598="","",IF(BI598&lt;&gt;TRUE(),"No specific plan",IF(ISNUMBER(BJ598),IF(BJ598&lt;'Exec Summary'!$C$4,"Resolved before Feb 2027","Resolved after Feb 2027"),"CLIENT INPUT REQUIRED")))</f>
        <v/>
      </c>
    </row>
    <row r="599" spans="1:63" ht="15" customHeight="1" x14ac:dyDescent="0.25">
      <c r="A599" s="40"/>
      <c r="BG599" s="39" t="str">
        <f t="shared" si="36"/>
        <v/>
      </c>
      <c r="BH599" s="39" t="str">
        <f t="shared" si="37"/>
        <v/>
      </c>
      <c r="BI599" s="39" t="str">
        <f t="shared" si="38"/>
        <v/>
      </c>
      <c r="BJ599" t="str">
        <f t="shared" si="39"/>
        <v/>
      </c>
      <c r="BK599" s="39" t="str">
        <f>IF(A599="","",IF(BI599&lt;&gt;TRUE(),"No specific plan",IF(ISNUMBER(BJ599),IF(BJ599&lt;'Exec Summary'!$C$4,"Resolved before Feb 2027","Resolved after Feb 2027"),"CLIENT INPUT REQUIRED")))</f>
        <v/>
      </c>
    </row>
    <row r="600" spans="1:63" ht="15" customHeight="1" x14ac:dyDescent="0.25">
      <c r="A600" s="40"/>
      <c r="BG600" s="39" t="str">
        <f t="shared" si="36"/>
        <v/>
      </c>
      <c r="BH600" s="39" t="str">
        <f t="shared" si="37"/>
        <v/>
      </c>
      <c r="BI600" s="39" t="str">
        <f t="shared" si="38"/>
        <v/>
      </c>
      <c r="BJ600" t="str">
        <f t="shared" si="39"/>
        <v/>
      </c>
      <c r="BK600" s="39" t="str">
        <f>IF(A600="","",IF(BI600&lt;&gt;TRUE(),"No specific plan",IF(ISNUMBER(BJ600),IF(BJ600&lt;'Exec Summary'!$C$4,"Resolved before Feb 2027","Resolved after Feb 2027"),"CLIENT INPUT REQUIRED")))</f>
        <v/>
      </c>
    </row>
    <row r="601" spans="1:63" ht="15" customHeight="1" x14ac:dyDescent="0.25">
      <c r="A601" s="40"/>
      <c r="BG601" s="39" t="str">
        <f t="shared" si="36"/>
        <v/>
      </c>
      <c r="BH601" s="39" t="str">
        <f t="shared" si="37"/>
        <v/>
      </c>
      <c r="BI601" s="39" t="str">
        <f t="shared" si="38"/>
        <v/>
      </c>
      <c r="BJ601" t="str">
        <f t="shared" si="39"/>
        <v/>
      </c>
      <c r="BK601" s="39" t="str">
        <f>IF(A601="","",IF(BI601&lt;&gt;TRUE(),"No specific plan",IF(ISNUMBER(BJ601),IF(BJ601&lt;'Exec Summary'!$C$4,"Resolved before Feb 2027","Resolved after Feb 2027"),"CLIENT INPUT REQUIRED")))</f>
        <v/>
      </c>
    </row>
    <row r="602" spans="1:63" ht="15" customHeight="1" x14ac:dyDescent="0.25">
      <c r="A602" s="40"/>
      <c r="BG602" s="39" t="str">
        <f t="shared" si="36"/>
        <v/>
      </c>
      <c r="BH602" s="39" t="str">
        <f t="shared" si="37"/>
        <v/>
      </c>
      <c r="BI602" s="39" t="str">
        <f t="shared" si="38"/>
        <v/>
      </c>
      <c r="BJ602" t="str">
        <f t="shared" si="39"/>
        <v/>
      </c>
      <c r="BK602" s="39" t="str">
        <f>IF(A602="","",IF(BI602&lt;&gt;TRUE(),"No specific plan",IF(ISNUMBER(BJ602),IF(BJ602&lt;'Exec Summary'!$C$4,"Resolved before Feb 2027","Resolved after Feb 2027"),"CLIENT INPUT REQUIRED")))</f>
        <v/>
      </c>
    </row>
    <row r="603" spans="1:63" ht="15" customHeight="1" x14ac:dyDescent="0.25">
      <c r="A603" s="40"/>
      <c r="BG603" s="39" t="str">
        <f t="shared" si="36"/>
        <v/>
      </c>
      <c r="BH603" s="39" t="str">
        <f t="shared" si="37"/>
        <v/>
      </c>
      <c r="BI603" s="39" t="str">
        <f t="shared" si="38"/>
        <v/>
      </c>
      <c r="BJ603" t="str">
        <f t="shared" si="39"/>
        <v/>
      </c>
      <c r="BK603" s="39" t="str">
        <f>IF(A603="","",IF(BI603&lt;&gt;TRUE(),"No specific plan",IF(ISNUMBER(BJ603),IF(BJ603&lt;'Exec Summary'!$C$4,"Resolved before Feb 2027","Resolved after Feb 2027"),"CLIENT INPUT REQUIRED")))</f>
        <v/>
      </c>
    </row>
  </sheetData>
  <mergeCells count="1">
    <mergeCell ref="AG1:AL1"/>
  </mergeCells>
  <conditionalFormatting sqref="A1:N2 AG1:AG2">
    <cfRule type="cellIs" dxfId="10" priority="9" operator="equal">
      <formula>"CLIENT INPUT REQUIRED"</formula>
    </cfRule>
  </conditionalFormatting>
  <conditionalFormatting sqref="AM1:BF2">
    <cfRule type="cellIs" dxfId="9" priority="4" operator="equal">
      <formula>"CLIENT INPUT REQUIRED"</formula>
    </cfRule>
  </conditionalFormatting>
  <conditionalFormatting sqref="AN4:AN187">
    <cfRule type="cellIs" dxfId="8" priority="2" operator="equal">
      <formula>"CLIENT INPUT REQUIRED"</formula>
    </cfRule>
  </conditionalFormatting>
  <conditionalFormatting sqref="AS4:AV187">
    <cfRule type="cellIs" dxfId="7" priority="3" operator="equal">
      <formula>"CLIENT INPUT REQUIRED"</formula>
    </cfRule>
  </conditionalFormatting>
  <conditionalFormatting sqref="AY4:AZ6 AZ7:AZ8">
    <cfRule type="cellIs" dxfId="6" priority="1" operator="equal">
      <formula>"CLIENT INPUT REQUIRED"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3cb565-f10f-43ba-ada3-892dd20ae2e6">
      <Terms xmlns="http://schemas.microsoft.com/office/infopath/2007/PartnerControls"/>
    </lcf76f155ced4ddcb4097134ff3c332f>
    <TaxCatchAll xmlns="ed6e7bbb-3f11-4d2d-b330-8d3abc2a70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A2DB235D9EE429E24CE26D6507243" ma:contentTypeVersion="11" ma:contentTypeDescription="Create a new document." ma:contentTypeScope="" ma:versionID="4122528adb91bbe5a5a7255ba1d02bf3">
  <xsd:schema xmlns:xsd="http://www.w3.org/2001/XMLSchema" xmlns:xs="http://www.w3.org/2001/XMLSchema" xmlns:p="http://schemas.microsoft.com/office/2006/metadata/properties" xmlns:ns2="cb3cb565-f10f-43ba-ada3-892dd20ae2e6" xmlns:ns3="ed6e7bbb-3f11-4d2d-b330-8d3abc2a7066" targetNamespace="http://schemas.microsoft.com/office/2006/metadata/properties" ma:root="true" ma:fieldsID="7fd72c18690235f6b32a91c023e15058" ns2:_="" ns3:_="">
    <xsd:import namespace="cb3cb565-f10f-43ba-ada3-892dd20ae2e6"/>
    <xsd:import namespace="ed6e7bbb-3f11-4d2d-b330-8d3abc2a7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cb565-f10f-43ba-ada3-892dd20ae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c350327-7f8b-4e4c-9470-6526d29b83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e7bbb-3f11-4d2d-b330-8d3abc2a706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4e3eda9-0039-4197-9012-50d8a2c7012d}" ma:internalName="TaxCatchAll" ma:showField="CatchAllData" ma:web="37ad2c1e-42e5-42c4-ae86-932c7f0e9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78815-3378-4BDF-B1DC-E1A72A443592}">
  <ds:schemaRefs>
    <ds:schemaRef ds:uri="http://schemas.microsoft.com/office/2006/metadata/properties"/>
    <ds:schemaRef ds:uri="http://schemas.microsoft.com/office/infopath/2007/PartnerControls"/>
    <ds:schemaRef ds:uri="cb3cb565-f10f-43ba-ada3-892dd20ae2e6"/>
    <ds:schemaRef ds:uri="ed6e7bbb-3f11-4d2d-b330-8d3abc2a7066"/>
  </ds:schemaRefs>
</ds:datastoreItem>
</file>

<file path=customXml/itemProps2.xml><?xml version="1.0" encoding="utf-8"?>
<ds:datastoreItem xmlns:ds="http://schemas.openxmlformats.org/officeDocument/2006/customXml" ds:itemID="{A3DA5A79-AAC6-4CEB-A00C-DD54CB163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C2B84A-EC34-4234-B039-9F9332A4A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cb565-f10f-43ba-ada3-892dd20ae2e6"/>
    <ds:schemaRef ds:uri="ed6e7bbb-3f11-4d2d-b330-8d3abc2a70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 Summary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AlYafei, Salem</cp:lastModifiedBy>
  <cp:revision>0</cp:revision>
  <dcterms:created xsi:type="dcterms:W3CDTF">2026-07-15T14:25:28Z</dcterms:created>
  <dcterms:modified xsi:type="dcterms:W3CDTF">2026-09-09T13:56:25Z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0x010100568A2DB235D9EE429E24CE26D6507243</vt:lpwstr>
  </property>
  <property fmtid="{D5CDD505-2E9C-101B-9397-08002B2CF9AE}" pid="3" name="MSIP_Label_0e815a84-bb14-486b-9367-c1af54c95fa4_ActionId">
    <vt:lpwstr>123427ff-aa02-4f24-ac6f-db4ba2ef8ce9</vt:lpwstr>
  </property>
  <property fmtid="{D5CDD505-2E9C-101B-9397-08002B2CF9AE}" pid="4" name="MSIP_Label_0e815a84-bb14-486b-9367-c1af54c95fa4_ContentBits">
    <vt:lpwstr>0</vt:lpwstr>
  </property>
  <property fmtid="{D5CDD505-2E9C-101B-9397-08002B2CF9AE}" pid="5" name="MSIP_Label_0e815a84-bb14-486b-9367-c1af54c95fa4_Enabled">
    <vt:lpwstr>true</vt:lpwstr>
  </property>
  <property fmtid="{D5CDD505-2E9C-101B-9397-08002B2CF9AE}" pid="6" name="MSIP_Label_0e815a84-bb14-486b-9367-c1af54c95fa4_Method">
    <vt:lpwstr>Standard</vt:lpwstr>
  </property>
  <property fmtid="{D5CDD505-2E9C-101B-9397-08002B2CF9AE}" pid="7" name="MSIP_Label_0e815a84-bb14-486b-9367-c1af54c95fa4_Name">
    <vt:lpwstr>Standard</vt:lpwstr>
  </property>
  <property fmtid="{D5CDD505-2E9C-101B-9397-08002B2CF9AE}" pid="8" name="MSIP_Label_0e815a84-bb14-486b-9367-c1af54c95fa4_SetDate">
    <vt:lpwstr>2026-07-15T14:30:01Z</vt:lpwstr>
  </property>
  <property fmtid="{D5CDD505-2E9C-101B-9397-08002B2CF9AE}" pid="9" name="MSIP_Label_0e815a84-bb14-486b-9367-c1af54c95fa4_SiteId">
    <vt:lpwstr>5dc645ed-297f-4dca-b0af-2339c71c5388</vt:lpwstr>
  </property>
  <property fmtid="{D5CDD505-2E9C-101B-9397-08002B2CF9AE}" pid="10" name="MSIP_Label_0e815a84-bb14-486b-9367-c1af54c95fa4_Tag">
    <vt:lpwstr>10, 3, 0, 1</vt:lpwstr>
  </property>
  <property fmtid="{D5CDD505-2E9C-101B-9397-08002B2CF9AE}" pid="11" name="MediaServiceImageTags">
    <vt:lpwstr/>
  </property>
</Properties>
</file>